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N19" i="3"/>
  <c r="S19" s="1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2" i="3" l="1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<sst xmlns="http://schemas.openxmlformats.org/spreadsheetml/2006/main" count="228" uniqueCount="82">
  <si>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</si>
  <si>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</si>
  <si>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</si>
  <si>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</si>
  <si>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</si>
  <si>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</si>
  <si>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</si>
  <si>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</si>
  <si>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</si>
  <si>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</si>
  <si>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</si>
  <si>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</si>
  <si>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</si>
  <si>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</si>
  <si>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</si>
  <si>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</si>
  <si>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</si>
  <si>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</si>
  <si>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</si>
  <si>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</si>
  <si>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</si>
  <si>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</si>
  <si>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</si>
  <si>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</si>
  <si>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</si>
  <si>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</si>
  <si>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</si>
  <si>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</si>
  <si>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</si>
  <si>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3. Read the results off the "Result" chart</t>
  </si>
  <si>
    <t>Instructions</t>
  </si>
  <si>
    <t>Date to Schedule</t>
  </si>
  <si>
    <t>Disclaimers</t>
  </si>
  <si>
    <t>1. This calculates your schedule on the assumption that it is always rolling from the PAD, except for weekends and holidays.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</si>
  <si>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</si>
  <si>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</si>
  <si>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</si>
  <si>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</si>
  <si>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</si>
  <si>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</si>
  <si>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</si>
  <si>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</si>
  <si>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</si>
  <si>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</si>
  <si>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</si>
  <si>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</si>
  <si>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</si>
  <si>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</si>
  <si>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</si>
  <si>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</si>
  <si>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</si>
  <si>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</si>
  <si>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</si>
  <si>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</si>
  <si>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</si>
  <si>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</si>
  <si>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</si>
  <si>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</si>
  <si>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</si>
  <si>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</si>
  <si>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</si>
  <si>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</si>
  <si>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</si>
  <si>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</si>
  <si>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</si>
  <si>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</si>
  <si>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</si>
  <si>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</si>
  <si>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</si>
  <si>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</si>
  <si>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</si>
  <si>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Day</t>
  </si>
  <si>
    <t>Time</t>
  </si>
  <si>
    <t>1. Fill out your course names in Fig. 1 (8 represents your Frees)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</si>
  <si>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</si>
  <si>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2. Fill out your rot. schedule in Fig. 2 (Using 8 as a Free period)</t>
  </si>
  <si>
    <t>1. Use the LATEST A day (before Date to Schedule) in Fig. 3</t>
  </si>
  <si>
    <t xml:space="preserve">4. Enter date of a Past A Day of Sem I in Fig. 3 (e.g 8/15/2013) </t>
  </si>
  <si>
    <t>3. Make sure all the holidays are correctly marked in Fig. 4</t>
  </si>
  <si>
    <t>2. Enter the date for the desired schedule in Fig. 3</t>
  </si>
  <si>
    <t xml:space="preserve">4. Enter date of a Past A Day of Sem II in Fig. 3 (e.g 1/6/2014) </t>
  </si>
  <si>
    <t>Weekend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</si>
</sst>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2" borderId="1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1" fillId="5" borderId="9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 wrapText="1"/>
    </xf>
    <xf numFmtId="0" fontId="1" fillId="4" borderId="25" xfId="0" applyFon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 wrapText="1"/>
    </xf>
    <xf numFmtId="0" fontId="0" fillId="4" borderId="19" xfId="0" applyFill="1" applyBorder="1" applyAlignment="1" applyProtection="1">
      <alignment horizontal="center" wrapText="1"/>
    </xf>
    <xf numFmtId="0" fontId="0" fillId="4" borderId="6" xfId="0" applyFill="1" applyBorder="1" applyAlignment="1" applyProtection="1">
      <alignment horizontal="center" wrapText="1"/>
    </xf>
    <xf numFmtId="0" fontId="0" fillId="4" borderId="7" xfId="0" applyFill="1" applyBorder="1" applyAlignment="1" applyProtection="1">
      <alignment horizontal="center" wrapText="1"/>
    </xf>
    <xf numFmtId="0" fontId="0" fillId="4" borderId="8" xfId="0" applyFill="1" applyBorder="1" applyAlignment="1" applyProtection="1">
      <alignment horizontal="center" wrapText="1"/>
    </xf>
    <xf numFmtId="0" fontId="1" fillId="5" borderId="34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 wrapText="1"/>
    </xf>
    <xf numFmtId="0" fontId="0" fillId="4" borderId="25" xfId="0" applyFill="1" applyBorder="1" applyAlignment="1" applyProtection="1">
      <alignment horizontal="center" wrapText="1"/>
    </xf>
    <xf numFmtId="0" fontId="0" fillId="4" borderId="17" xfId="0" applyFill="1" applyBorder="1" applyAlignment="1" applyProtection="1">
      <alignment horizontal="center" wrapText="1"/>
    </xf>
    <xf numFmtId="164" fontId="0" fillId="2" borderId="1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/>
    </xf>
    <xf numFmtId="164" fontId="0" fillId="2" borderId="7" xfId="0" applyNumberFormat="1" applyFill="1" applyBorder="1" applyAlignment="1" applyProtection="1">
      <alignment horizontal="center"/>
    </xf>
    <xf numFmtId="164" fontId="0" fillId="2" borderId="8" xfId="0" applyNumberForma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1" fillId="4" borderId="35" xfId="0" applyFont="1" applyFill="1" applyBorder="1" applyAlignment="1" applyProtection="1">
      <alignment horizontal="center"/>
    </xf>
    <xf numFmtId="0" fontId="0" fillId="4" borderId="38" xfId="0" applyFill="1" applyBorder="1" applyAlignment="1" applyProtection="1">
      <alignment horizontal="center" wrapText="1"/>
    </xf>
    <xf numFmtId="0" fontId="2" fillId="0" borderId="43" xfId="0" applyFont="1" applyBorder="1" applyAlignment="1" applyProtection="1">
      <alignment horizontal="center"/>
    </xf>
    <xf numFmtId="0" fontId="2" fillId="0" borderId="37" xfId="0" applyFont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2" fillId="0" borderId="45" xfId="0" applyFont="1" applyBorder="1" applyAlignment="1" applyProtection="1">
      <alignment horizontal="center"/>
    </xf>
    <xf numFmtId="0" fontId="0" fillId="0" borderId="36" xfId="0" applyBorder="1" applyProtection="1"/>
    <xf numFmtId="0" fontId="0" fillId="0" borderId="37" xfId="0" applyBorder="1" applyProtection="1"/>
    <xf numFmtId="0" fontId="0" fillId="0" borderId="39" xfId="0" applyBorder="1" applyProtection="1"/>
    <xf numFmtId="0" fontId="0" fillId="0" borderId="32" xfId="0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30" xfId="0" applyBorder="1" applyProtection="1"/>
    <xf numFmtId="0" fontId="0" fillId="0" borderId="42" xfId="0" applyBorder="1" applyProtection="1"/>
    <xf numFmtId="0" fontId="0" fillId="0" borderId="33" xfId="0" applyBorder="1" applyProtection="1"/>
    <xf numFmtId="0" fontId="0" fillId="0" borderId="11" xfId="0" applyBorder="1" applyProtection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S124"/>
  <sheetViews>
    <sheetView tabSelected="1" zoomScaleNormal="100"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90" t="s">
        <v>34</v>
      </c>
      <c r="C2" s="91"/>
      <c r="E2" s="56" t="s">
        <v>30</v>
      </c>
      <c r="F2" s="57"/>
      <c r="G2" s="57"/>
      <c r="H2" s="57"/>
      <c r="I2" s="57"/>
      <c r="J2" s="58"/>
      <c r="L2" s="59" t="s">
        <v>32</v>
      </c>
      <c r="M2" s="69"/>
      <c r="N2" s="69"/>
      <c r="O2" s="69"/>
      <c r="P2" s="69"/>
      <c r="Q2" s="69"/>
      <c r="R2" s="60"/>
    </row>
    <row r="3" spans="2:19" ht="15.75" thickBot="1">
      <c r="B3" s="92" t="s">
        <v>21</v>
      </c>
      <c r="C3" s="93"/>
      <c r="E3" s="61" t="s">
        <v>27</v>
      </c>
      <c r="F3" s="63"/>
      <c r="G3" s="63"/>
      <c r="H3" s="88" t="s">
        <v>28</v>
      </c>
      <c r="I3" s="94"/>
      <c r="J3" s="95"/>
      <c r="L3" s="70" t="s">
        <v>33</v>
      </c>
      <c r="M3" s="71"/>
      <c r="N3" s="71"/>
      <c r="O3" s="71"/>
      <c r="P3" s="71"/>
      <c r="Q3" s="71"/>
      <c r="R3" s="72"/>
      <c r="S3" s="16"/>
    </row>
    <row r="4" spans="2:19" ht="15" customHeight="1">
      <c r="E4" s="64" t="s">
        <v>73</v>
      </c>
      <c r="F4" s="62"/>
      <c r="G4" s="62"/>
      <c r="H4" s="89" t="s">
        <v>74</v>
      </c>
      <c r="I4" s="96"/>
      <c r="J4" s="97"/>
      <c r="L4" s="64"/>
      <c r="M4" s="62"/>
      <c r="N4" s="62"/>
      <c r="O4" s="62"/>
      <c r="P4" s="62"/>
      <c r="Q4" s="62"/>
      <c r="R4" s="65"/>
      <c r="S4" s="18"/>
    </row>
    <row r="5" spans="2:19">
      <c r="E5" s="64"/>
      <c r="F5" s="62"/>
      <c r="G5" s="62"/>
      <c r="H5" s="98"/>
      <c r="I5" s="99"/>
      <c r="J5" s="100"/>
      <c r="L5" s="64" t="s">
        <v>50</v>
      </c>
      <c r="M5" s="62"/>
      <c r="N5" s="62"/>
      <c r="O5" s="62"/>
      <c r="P5" s="62"/>
      <c r="Q5" s="62"/>
      <c r="R5" s="65"/>
      <c r="S5" s="18"/>
    </row>
    <row r="6" spans="2:19" ht="15" customHeight="1">
      <c r="E6" s="64" t="s">
        <v>75</v>
      </c>
      <c r="F6" s="62"/>
      <c r="G6" s="62"/>
      <c r="H6" s="89" t="s">
        <v>76</v>
      </c>
      <c r="I6" s="96"/>
      <c r="J6" s="97"/>
      <c r="L6" s="64"/>
      <c r="M6" s="62"/>
      <c r="N6" s="62"/>
      <c r="O6" s="62"/>
      <c r="P6" s="62"/>
      <c r="Q6" s="62"/>
      <c r="R6" s="65"/>
      <c r="S6" s="18"/>
    </row>
    <row r="7" spans="2:19" ht="15.75" thickBot="1">
      <c r="E7" s="64"/>
      <c r="F7" s="62"/>
      <c r="G7" s="62"/>
      <c r="H7" s="98"/>
      <c r="I7" s="99"/>
      <c r="J7" s="100"/>
      <c r="L7" s="66"/>
      <c r="M7" s="67"/>
      <c r="N7" s="67"/>
      <c r="O7" s="67"/>
      <c r="P7" s="67"/>
      <c r="Q7" s="67"/>
      <c r="R7" s="68"/>
    </row>
    <row r="8" spans="2:19" ht="15.75" customHeight="1" thickBot="1">
      <c r="E8" s="64" t="s">
        <v>77</v>
      </c>
      <c r="F8" s="62"/>
      <c r="G8" s="62"/>
      <c r="H8" s="89" t="s">
        <v>79</v>
      </c>
      <c r="I8" s="96"/>
      <c r="J8" s="97"/>
    </row>
    <row r="9" spans="2:19" ht="15.75" thickBot="1">
      <c r="B9" s="56" t="s">
        <v>22</v>
      </c>
      <c r="C9" s="58"/>
      <c r="E9" s="64"/>
      <c r="F9" s="62"/>
      <c r="G9" s="62"/>
      <c r="H9" s="98"/>
      <c r="I9" s="99"/>
      <c r="J9" s="100"/>
      <c r="N9" s="11" t="s">
        <v>24</v>
      </c>
      <c r="P9" s="56" t="s">
        <v>26</v>
      </c>
      <c r="Q9" s="57"/>
      <c r="R9" s="57"/>
      <c r="S9" s="58"/>
    </row>
    <row r="10" spans="2:19" ht="15.75" customHeight="1" thickBot="1">
      <c r="B10" s="13" t="s">
        <v>2</v>
      </c>
      <c r="C10" s="36" t="s">
        <v>3</v>
      </c>
      <c r="E10" s="64" t="s">
        <v>78</v>
      </c>
      <c r="F10" s="62"/>
      <c r="G10" s="62"/>
      <c r="H10" s="89" t="s">
        <v>29</v>
      </c>
      <c r="I10" s="96"/>
      <c r="J10" s="97"/>
      <c r="N10" s="26" t="s">
        <v>11</v>
      </c>
      <c r="P10" s="48" t="str">
        <f>INDEX(F15:L15, 1, Q10)</f>
        <v>G</v>
      </c>
      <c r="Q10" s="77">
        <f>MOD(N17, 7)+1</f>
        <v>7</v>
      </c>
      <c r="R10" s="78" t="s">
        <v>71</v>
      </c>
      <c r="S10" s="79">
        <f>N14</f>
        <v>41509</v>
      </c>
    </row>
    <row r="11" spans="2:19" ht="15.75" thickBot="1">
      <c r="B11" s="17">
        <v>0</v>
      </c>
      <c r="C11" s="37" t="s">
        <v>81</v>
      </c>
      <c r="E11" s="66"/>
      <c r="F11" s="67"/>
      <c r="G11" s="67"/>
      <c r="H11" s="101"/>
      <c r="I11" s="102"/>
      <c r="J11" s="103"/>
      <c r="N11" s="2">
        <v>41501</v>
      </c>
      <c r="P11" s="49" t="s">
        <v>1</v>
      </c>
      <c r="Q11" s="50" t="s">
        <v>2</v>
      </c>
      <c r="R11" s="80" t="s">
        <v>4</v>
      </c>
      <c r="S11" s="81" t="s">
        <v>72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9</v>
      </c>
      <c r="R12" s="82" t="str">
        <f>INDEX(C11:C26, Q12+1, 1)</f>
        <v>Office Hours</v>
      </c>
      <c r="S12" s="83" t="str">
        <f>INDEX(F30:L33, 1, N19)</f>
        <v>8:00-8:30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84" t="str">
        <f>INDEX(C12:C19, Q13, 1)</f>
        <v>Bible</v>
      </c>
      <c r="S13" s="85" t="str">
        <f>INDEX(F34:L37, P13, N19)</f>
        <v>8:30-9:40</v>
      </c>
    </row>
    <row r="14" spans="2:19" ht="15.75" customHeight="1" thickBot="1">
      <c r="B14" s="17">
        <f t="shared" ref="B14:B26" si="0">B13+1</f>
        <v>3</v>
      </c>
      <c r="C14" s="38" t="s">
        <v>7</v>
      </c>
      <c r="E14" s="56" t="s">
        <v>23</v>
      </c>
      <c r="F14" s="57"/>
      <c r="G14" s="57"/>
      <c r="H14" s="57"/>
      <c r="I14" s="57"/>
      <c r="J14" s="57"/>
      <c r="K14" s="57"/>
      <c r="L14" s="58"/>
      <c r="N14" s="29">
        <v>41509</v>
      </c>
      <c r="P14" s="21">
        <v>1.5</v>
      </c>
      <c r="Q14" s="54">
        <f>INDEX(F23:L26, 2, N19)</f>
        <v>12</v>
      </c>
      <c r="R14" s="82" t="str">
        <f>INDEX(C11:C26, Q14+1, 1)</f>
        <v>ADV</v>
      </c>
      <c r="S14" s="83" t="str">
        <f>INDEX(F30:L33, 2, N19)</f>
        <v>9:40-9:55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84" t="str">
        <f>INDEX(C12:C19, Q15, 1)</f>
        <v>English</v>
      </c>
      <c r="S15" s="85" t="str">
        <f>INDEX(F34:L37, P15, N19)</f>
        <v>9:55-11:05</v>
      </c>
    </row>
    <row r="16" spans="2:19" ht="15" customHeight="1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84" t="str">
        <f>INDEX(C12:C19, Q16, 1)</f>
        <v>Orchestra</v>
      </c>
      <c r="S16" s="85" t="str">
        <f>INDEX(F34:L37, P16, N19)</f>
        <v>11:05-1:10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6</v>
      </c>
      <c r="P17" s="21">
        <v>3.5</v>
      </c>
      <c r="Q17" s="54">
        <f>INDEX(F23:L26, 3, N19)</f>
        <v>10</v>
      </c>
      <c r="R17" s="82" t="str">
        <f>INDEX(C11:C26, Q17+1, 1)</f>
        <v>Break</v>
      </c>
      <c r="S17" s="83" t="str">
        <f>INDEX(F30:L33, 3, N19)</f>
        <v>1:10-1:20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84" t="str">
        <f>INDEX(C12:C19, Q18, 1)</f>
        <v>Physics</v>
      </c>
      <c r="S18" s="85" t="str">
        <f>INDEX(F34:L37, P18, N19)</f>
        <v>1:20-2:30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6</v>
      </c>
      <c r="P19" s="22">
        <v>4.5</v>
      </c>
      <c r="Q19" s="55">
        <f>INDEX(F23:L26, 4, N19)</f>
        <v>0</v>
      </c>
      <c r="R19" s="86" t="str">
        <f>INDEX(C11:C26, Q19+1, 1)</f>
        <v>Weekend</v>
      </c>
      <c r="S19" s="87">
        <f>INDEX(F30:L33, 4, N19)</f>
        <v>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56" t="s">
        <v>44</v>
      </c>
      <c r="F21" s="57"/>
      <c r="G21" s="57"/>
      <c r="H21" s="57"/>
      <c r="I21" s="57"/>
      <c r="J21" s="57"/>
      <c r="K21" s="57"/>
      <c r="L21" s="58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41459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41519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41561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41563</v>
      </c>
    </row>
    <row r="27" spans="2:19" ht="15.75" thickBot="1">
      <c r="N27" s="7">
        <v>41565</v>
      </c>
    </row>
    <row r="28" spans="2:19" ht="15.75" thickBot="1">
      <c r="E28" s="56" t="s">
        <v>52</v>
      </c>
      <c r="F28" s="57"/>
      <c r="G28" s="57"/>
      <c r="H28" s="57"/>
      <c r="I28" s="57"/>
      <c r="J28" s="57"/>
      <c r="K28" s="57"/>
      <c r="L28" s="58"/>
      <c r="N28" s="7">
        <v>41575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41603</v>
      </c>
    </row>
    <row r="30" spans="2:19">
      <c r="E30" s="17">
        <v>0.5</v>
      </c>
      <c r="F30" s="73">
        <v>0</v>
      </c>
      <c r="G30" s="73" t="s">
        <v>53</v>
      </c>
      <c r="H30" s="73" t="s">
        <v>54</v>
      </c>
      <c r="I30" s="73" t="s">
        <v>55</v>
      </c>
      <c r="J30" s="73" t="s">
        <v>54</v>
      </c>
      <c r="K30" s="73" t="s">
        <v>53</v>
      </c>
      <c r="L30" s="74">
        <v>0</v>
      </c>
      <c r="N30" s="7">
        <v>41604</v>
      </c>
    </row>
    <row r="31" spans="2:19">
      <c r="E31" s="17">
        <v>1.5</v>
      </c>
      <c r="F31" s="73">
        <v>0</v>
      </c>
      <c r="G31" s="73" t="s">
        <v>56</v>
      </c>
      <c r="H31" s="73" t="s">
        <v>56</v>
      </c>
      <c r="I31" s="73" t="s">
        <v>57</v>
      </c>
      <c r="J31" s="73" t="s">
        <v>58</v>
      </c>
      <c r="K31" s="73" t="s">
        <v>56</v>
      </c>
      <c r="L31" s="74">
        <v>0</v>
      </c>
      <c r="N31" s="7">
        <v>41605</v>
      </c>
    </row>
    <row r="32" spans="2:19">
      <c r="E32" s="17">
        <v>3.5</v>
      </c>
      <c r="F32" s="73">
        <v>0</v>
      </c>
      <c r="G32" s="73" t="s">
        <v>59</v>
      </c>
      <c r="H32" s="73" t="s">
        <v>59</v>
      </c>
      <c r="I32" s="73" t="s">
        <v>60</v>
      </c>
      <c r="J32" s="73" t="s">
        <v>60</v>
      </c>
      <c r="K32" s="73" t="s">
        <v>61</v>
      </c>
      <c r="L32" s="74">
        <v>0</v>
      </c>
      <c r="N32" s="7">
        <v>41606</v>
      </c>
    </row>
    <row r="33" spans="5:14">
      <c r="E33" s="17">
        <v>4.5</v>
      </c>
      <c r="F33" s="73">
        <v>0</v>
      </c>
      <c r="G33" s="73" t="s">
        <v>62</v>
      </c>
      <c r="H33" s="73" t="s">
        <v>62</v>
      </c>
      <c r="I33" s="73" t="s">
        <v>62</v>
      </c>
      <c r="J33" s="73" t="s">
        <v>62</v>
      </c>
      <c r="K33" s="73">
        <v>0</v>
      </c>
      <c r="L33" s="74">
        <v>0</v>
      </c>
      <c r="N33" s="7">
        <v>41607</v>
      </c>
    </row>
    <row r="34" spans="5:14">
      <c r="E34" s="17">
        <v>1</v>
      </c>
      <c r="F34" s="73">
        <v>0</v>
      </c>
      <c r="G34" s="73" t="s">
        <v>63</v>
      </c>
      <c r="H34" s="73" t="s">
        <v>63</v>
      </c>
      <c r="I34" s="73" t="s">
        <v>64</v>
      </c>
      <c r="J34" s="73" t="s">
        <v>63</v>
      </c>
      <c r="K34" s="73" t="s">
        <v>63</v>
      </c>
      <c r="L34" s="74">
        <v>0</v>
      </c>
      <c r="N34" s="7"/>
    </row>
    <row r="35" spans="5:14">
      <c r="E35" s="17">
        <v>2</v>
      </c>
      <c r="F35" s="73">
        <v>0</v>
      </c>
      <c r="G35" s="73" t="s">
        <v>65</v>
      </c>
      <c r="H35" s="73" t="s">
        <v>65</v>
      </c>
      <c r="I35" s="73" t="s">
        <v>66</v>
      </c>
      <c r="J35" s="73" t="s">
        <v>66</v>
      </c>
      <c r="K35" s="73" t="s">
        <v>65</v>
      </c>
      <c r="L35" s="74">
        <v>0</v>
      </c>
      <c r="N35" s="7"/>
    </row>
    <row r="36" spans="5:14">
      <c r="E36" s="17">
        <v>3</v>
      </c>
      <c r="F36" s="73">
        <v>0</v>
      </c>
      <c r="G36" s="73" t="s">
        <v>67</v>
      </c>
      <c r="H36" s="73" t="s">
        <v>67</v>
      </c>
      <c r="I36" s="73" t="s">
        <v>68</v>
      </c>
      <c r="J36" s="73" t="s">
        <v>68</v>
      </c>
      <c r="K36" s="73" t="s">
        <v>67</v>
      </c>
      <c r="L36" s="74">
        <v>0</v>
      </c>
      <c r="N36" s="7"/>
    </row>
    <row r="37" spans="5:14" ht="15.75" thickBot="1">
      <c r="E37" s="19">
        <v>4</v>
      </c>
      <c r="F37" s="75">
        <v>0</v>
      </c>
      <c r="G37" s="75" t="s">
        <v>69</v>
      </c>
      <c r="H37" s="75" t="s">
        <v>69</v>
      </c>
      <c r="I37" s="75" t="s">
        <v>69</v>
      </c>
      <c r="J37" s="75" t="s">
        <v>69</v>
      </c>
      <c r="K37" s="75" t="s">
        <v>70</v>
      </c>
      <c r="L37" s="76">
        <v>0</v>
      </c>
      <c r="N37" s="7"/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B2:C2"/>
    <mergeCell ref="B3:C3"/>
    <mergeCell ref="E28:L28"/>
    <mergeCell ref="P9:S9"/>
    <mergeCell ref="E21:L21"/>
    <mergeCell ref="E14:L14"/>
    <mergeCell ref="B9:C9"/>
    <mergeCell ref="E2:J2"/>
    <mergeCell ref="L3:R4"/>
    <mergeCell ref="L5:R7"/>
    <mergeCell ref="L2:R2"/>
    <mergeCell ref="E10:G11"/>
    <mergeCell ref="H3:J3"/>
    <mergeCell ref="H4:J5"/>
    <mergeCell ref="H6:J7"/>
    <mergeCell ref="H8:J9"/>
    <mergeCell ref="H10:J11"/>
    <mergeCell ref="E3:G3"/>
    <mergeCell ref="E4:G5"/>
    <mergeCell ref="E6:G7"/>
    <mergeCell ref="E8:G9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S124"/>
  <sheetViews>
    <sheetView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90" t="s">
        <v>35</v>
      </c>
      <c r="C2" s="91"/>
      <c r="E2" s="56" t="s">
        <v>30</v>
      </c>
      <c r="F2" s="57"/>
      <c r="G2" s="57"/>
      <c r="H2" s="57"/>
      <c r="I2" s="57"/>
      <c r="J2" s="58"/>
      <c r="L2" s="59" t="s">
        <v>32</v>
      </c>
      <c r="M2" s="69"/>
      <c r="N2" s="69"/>
      <c r="O2" s="69"/>
      <c r="P2" s="69"/>
      <c r="Q2" s="69"/>
      <c r="R2" s="60"/>
    </row>
    <row r="3" spans="2:19" ht="15.75" thickBot="1">
      <c r="B3" s="92" t="s">
        <v>21</v>
      </c>
      <c r="C3" s="93"/>
      <c r="E3" s="61" t="s">
        <v>27</v>
      </c>
      <c r="F3" s="63"/>
      <c r="G3" s="63"/>
      <c r="H3" s="88" t="s">
        <v>28</v>
      </c>
      <c r="I3" s="94"/>
      <c r="J3" s="95"/>
      <c r="L3" s="70" t="s">
        <v>33</v>
      </c>
      <c r="M3" s="71"/>
      <c r="N3" s="71"/>
      <c r="O3" s="71"/>
      <c r="P3" s="71"/>
      <c r="Q3" s="71"/>
      <c r="R3" s="72"/>
      <c r="S3" s="16"/>
    </row>
    <row r="4" spans="2:19">
      <c r="E4" s="64" t="s">
        <v>73</v>
      </c>
      <c r="F4" s="62"/>
      <c r="G4" s="62"/>
      <c r="H4" s="89" t="s">
        <v>74</v>
      </c>
      <c r="I4" s="96"/>
      <c r="J4" s="97"/>
      <c r="L4" s="64"/>
      <c r="M4" s="62"/>
      <c r="N4" s="62"/>
      <c r="O4" s="62"/>
      <c r="P4" s="62"/>
      <c r="Q4" s="62"/>
      <c r="R4" s="65"/>
      <c r="S4" s="18"/>
    </row>
    <row r="5" spans="2:19">
      <c r="E5" s="64"/>
      <c r="F5" s="62"/>
      <c r="G5" s="62"/>
      <c r="H5" s="98"/>
      <c r="I5" s="99"/>
      <c r="J5" s="100"/>
      <c r="L5" s="64" t="s">
        <v>51</v>
      </c>
      <c r="M5" s="62"/>
      <c r="N5" s="62"/>
      <c r="O5" s="62"/>
      <c r="P5" s="62"/>
      <c r="Q5" s="62"/>
      <c r="R5" s="65"/>
      <c r="S5" s="18"/>
    </row>
    <row r="6" spans="2:19">
      <c r="E6" s="64" t="s">
        <v>75</v>
      </c>
      <c r="F6" s="62"/>
      <c r="G6" s="62"/>
      <c r="H6" s="89" t="s">
        <v>76</v>
      </c>
      <c r="I6" s="96"/>
      <c r="J6" s="97"/>
      <c r="L6" s="64"/>
      <c r="M6" s="62"/>
      <c r="N6" s="62"/>
      <c r="O6" s="62"/>
      <c r="P6" s="62"/>
      <c r="Q6" s="62"/>
      <c r="R6" s="65"/>
      <c r="S6" s="18"/>
    </row>
    <row r="7" spans="2:19" ht="15.75" thickBot="1">
      <c r="E7" s="64"/>
      <c r="F7" s="62"/>
      <c r="G7" s="62"/>
      <c r="H7" s="98"/>
      <c r="I7" s="99"/>
      <c r="J7" s="100"/>
      <c r="L7" s="66"/>
      <c r="M7" s="67"/>
      <c r="N7" s="67"/>
      <c r="O7" s="67"/>
      <c r="P7" s="67"/>
      <c r="Q7" s="67"/>
      <c r="R7" s="68"/>
    </row>
    <row r="8" spans="2:19" ht="15.75" thickBot="1">
      <c r="E8" s="64" t="s">
        <v>80</v>
      </c>
      <c r="F8" s="62"/>
      <c r="G8" s="62"/>
      <c r="H8" s="89" t="s">
        <v>79</v>
      </c>
      <c r="I8" s="96"/>
      <c r="J8" s="97"/>
    </row>
    <row r="9" spans="2:19" ht="15.75" thickBot="1">
      <c r="B9" s="56" t="s">
        <v>22</v>
      </c>
      <c r="C9" s="58"/>
      <c r="E9" s="64"/>
      <c r="F9" s="62"/>
      <c r="G9" s="62"/>
      <c r="H9" s="98"/>
      <c r="I9" s="99"/>
      <c r="J9" s="100"/>
      <c r="N9" s="11" t="s">
        <v>24</v>
      </c>
      <c r="P9" s="56" t="s">
        <v>26</v>
      </c>
      <c r="Q9" s="57"/>
      <c r="R9" s="57"/>
      <c r="S9" s="58"/>
    </row>
    <row r="10" spans="2:19" ht="15.75" thickBot="1">
      <c r="B10" s="13" t="s">
        <v>2</v>
      </c>
      <c r="C10" s="36" t="s">
        <v>3</v>
      </c>
      <c r="E10" s="64" t="s">
        <v>78</v>
      </c>
      <c r="F10" s="62"/>
      <c r="G10" s="62"/>
      <c r="H10" s="89" t="s">
        <v>29</v>
      </c>
      <c r="I10" s="96"/>
      <c r="J10" s="97"/>
      <c r="N10" s="26" t="s">
        <v>11</v>
      </c>
      <c r="P10" s="48" t="str">
        <f>INDEX(F15:L15, 1, Q10)</f>
        <v>G</v>
      </c>
      <c r="Q10" s="77">
        <f>MOD(N17, 7)+1</f>
        <v>7</v>
      </c>
      <c r="R10" s="78" t="s">
        <v>71</v>
      </c>
      <c r="S10" s="79">
        <f>N14</f>
        <v>41773</v>
      </c>
    </row>
    <row r="11" spans="2:19" ht="15.75" thickBot="1">
      <c r="B11" s="17">
        <v>0</v>
      </c>
      <c r="C11" s="37" t="s">
        <v>81</v>
      </c>
      <c r="E11" s="66"/>
      <c r="F11" s="67"/>
      <c r="G11" s="67"/>
      <c r="H11" s="101"/>
      <c r="I11" s="102"/>
      <c r="J11" s="103"/>
      <c r="N11" s="2">
        <v>41645</v>
      </c>
      <c r="P11" s="49" t="s">
        <v>1</v>
      </c>
      <c r="Q11" s="50" t="s">
        <v>2</v>
      </c>
      <c r="R11" s="80" t="s">
        <v>4</v>
      </c>
      <c r="S11" s="81" t="s">
        <v>72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14</v>
      </c>
      <c r="R12" s="82" t="str">
        <f>INDEX(C11:C26, Q12+1, 1)</f>
        <v>FAC MTGS</v>
      </c>
      <c r="S12" s="83" t="str">
        <f>INDEX(F30:L33, 1, N19)</f>
        <v>7:45-9:00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84" t="str">
        <f>INDEX(C12:C19, Q13, 1)</f>
        <v>Bible</v>
      </c>
      <c r="S13" s="85" t="str">
        <f>INDEX(F34:L37, P13, N19)</f>
        <v>9:00-10:10</v>
      </c>
    </row>
    <row r="14" spans="2:19" ht="15.75" thickBot="1">
      <c r="B14" s="17">
        <f t="shared" ref="B14:B26" si="0">B13+1</f>
        <v>3</v>
      </c>
      <c r="C14" s="38" t="s">
        <v>7</v>
      </c>
      <c r="E14" s="56" t="s">
        <v>23</v>
      </c>
      <c r="F14" s="57"/>
      <c r="G14" s="57"/>
      <c r="H14" s="57"/>
      <c r="I14" s="57"/>
      <c r="J14" s="57"/>
      <c r="K14" s="57"/>
      <c r="L14" s="58"/>
      <c r="N14" s="29">
        <v>41773</v>
      </c>
      <c r="P14" s="21">
        <v>1.5</v>
      </c>
      <c r="Q14" s="54">
        <f>INDEX(F23:L26, 2, N19)</f>
        <v>10</v>
      </c>
      <c r="R14" s="82" t="str">
        <f>INDEX(C11:C26, Q14+1, 1)</f>
        <v>Break</v>
      </c>
      <c r="S14" s="83" t="str">
        <f>INDEX(F30:L33, 2, N19)</f>
        <v>10:10-10:25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84" t="str">
        <f>INDEX(C12:C19, Q15, 1)</f>
        <v>English</v>
      </c>
      <c r="S15" s="85" t="str">
        <f>INDEX(F34:L37, P15, N19)</f>
        <v>10:25-11:35</v>
      </c>
    </row>
    <row r="16" spans="2:19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84" t="str">
        <f>INDEX(C12:C19, Q16, 1)</f>
        <v>Orchestra</v>
      </c>
      <c r="S16" s="85" t="str">
        <f>INDEX(F34:L37, P16, N19)</f>
        <v>11:35-1:40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83</v>
      </c>
      <c r="P17" s="21">
        <v>3.5</v>
      </c>
      <c r="Q17" s="54">
        <f>INDEX(F23:L26, 3, N19)</f>
        <v>10</v>
      </c>
      <c r="R17" s="82" t="str">
        <f>INDEX(C11:C26, Q17+1, 1)</f>
        <v>Break</v>
      </c>
      <c r="S17" s="83" t="str">
        <f>INDEX(F30:L33, 3, N19)</f>
        <v>1:40-1:50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84" t="str">
        <f>INDEX(C12:C19, Q18, 1)</f>
        <v>Physics</v>
      </c>
      <c r="S18" s="85" t="str">
        <f>INDEX(F34:L37, P18, N19)</f>
        <v>1:50-3:00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4</v>
      </c>
      <c r="P19" s="22">
        <v>4.5</v>
      </c>
      <c r="Q19" s="55">
        <f>INDEX(F23:L26, 4, N19)</f>
        <v>9</v>
      </c>
      <c r="R19" s="86" t="str">
        <f>INDEX(C11:C26, Q19+1, 1)</f>
        <v>Office Hours</v>
      </c>
      <c r="S19" s="87" t="str">
        <f>INDEX(F30:L33, 4, N19)</f>
        <v>3:00-3:30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56" t="s">
        <v>44</v>
      </c>
      <c r="F21" s="57"/>
      <c r="G21" s="57"/>
      <c r="H21" s="57"/>
      <c r="I21" s="57"/>
      <c r="J21" s="57"/>
      <c r="K21" s="57"/>
      <c r="L21" s="58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41659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41687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41706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41707</v>
      </c>
    </row>
    <row r="27" spans="2:19" ht="15.75" thickBot="1">
      <c r="N27" s="7">
        <v>41708</v>
      </c>
    </row>
    <row r="28" spans="2:19" ht="15.75" thickBot="1">
      <c r="E28" s="56" t="s">
        <v>52</v>
      </c>
      <c r="F28" s="57"/>
      <c r="G28" s="57"/>
      <c r="H28" s="57"/>
      <c r="I28" s="57"/>
      <c r="J28" s="57"/>
      <c r="K28" s="57"/>
      <c r="L28" s="58"/>
      <c r="N28" s="7">
        <v>41709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41710</v>
      </c>
    </row>
    <row r="30" spans="2:19">
      <c r="E30" s="17">
        <v>0.5</v>
      </c>
      <c r="F30" s="73">
        <v>0</v>
      </c>
      <c r="G30" s="73" t="s">
        <v>53</v>
      </c>
      <c r="H30" s="73" t="s">
        <v>54</v>
      </c>
      <c r="I30" s="73" t="s">
        <v>55</v>
      </c>
      <c r="J30" s="73" t="s">
        <v>54</v>
      </c>
      <c r="K30" s="73" t="s">
        <v>53</v>
      </c>
      <c r="L30" s="74">
        <v>0</v>
      </c>
      <c r="N30" s="7">
        <v>41711</v>
      </c>
    </row>
    <row r="31" spans="2:19">
      <c r="E31" s="17">
        <v>1.5</v>
      </c>
      <c r="F31" s="73">
        <v>0</v>
      </c>
      <c r="G31" s="73" t="s">
        <v>56</v>
      </c>
      <c r="H31" s="73" t="s">
        <v>56</v>
      </c>
      <c r="I31" s="73" t="s">
        <v>57</v>
      </c>
      <c r="J31" s="73" t="s">
        <v>58</v>
      </c>
      <c r="K31" s="73" t="s">
        <v>56</v>
      </c>
      <c r="L31" s="74">
        <v>0</v>
      </c>
      <c r="N31" s="7">
        <v>41712</v>
      </c>
    </row>
    <row r="32" spans="2:19">
      <c r="E32" s="17">
        <v>3.5</v>
      </c>
      <c r="F32" s="73">
        <v>0</v>
      </c>
      <c r="G32" s="73" t="s">
        <v>59</v>
      </c>
      <c r="H32" s="73" t="s">
        <v>59</v>
      </c>
      <c r="I32" s="73" t="s">
        <v>60</v>
      </c>
      <c r="J32" s="73" t="s">
        <v>60</v>
      </c>
      <c r="K32" s="73" t="s">
        <v>61</v>
      </c>
      <c r="L32" s="74">
        <v>0</v>
      </c>
      <c r="N32" s="7">
        <v>41713</v>
      </c>
    </row>
    <row r="33" spans="5:14">
      <c r="E33" s="17">
        <v>4.5</v>
      </c>
      <c r="F33" s="73">
        <v>0</v>
      </c>
      <c r="G33" s="73" t="s">
        <v>62</v>
      </c>
      <c r="H33" s="73" t="s">
        <v>62</v>
      </c>
      <c r="I33" s="73" t="s">
        <v>62</v>
      </c>
      <c r="J33" s="73" t="s">
        <v>62</v>
      </c>
      <c r="K33" s="73">
        <v>0</v>
      </c>
      <c r="L33" s="74">
        <v>0</v>
      </c>
      <c r="N33" s="7">
        <v>41714</v>
      </c>
    </row>
    <row r="34" spans="5:14">
      <c r="E34" s="17">
        <v>1</v>
      </c>
      <c r="F34" s="73">
        <v>0</v>
      </c>
      <c r="G34" s="73" t="s">
        <v>63</v>
      </c>
      <c r="H34" s="73" t="s">
        <v>63</v>
      </c>
      <c r="I34" s="73" t="s">
        <v>64</v>
      </c>
      <c r="J34" s="73" t="s">
        <v>63</v>
      </c>
      <c r="K34" s="73" t="s">
        <v>63</v>
      </c>
      <c r="L34" s="74">
        <v>0</v>
      </c>
      <c r="N34" s="7">
        <v>41747</v>
      </c>
    </row>
    <row r="35" spans="5:14">
      <c r="E35" s="17">
        <v>2</v>
      </c>
      <c r="F35" s="73">
        <v>0</v>
      </c>
      <c r="G35" s="73" t="s">
        <v>65</v>
      </c>
      <c r="H35" s="73" t="s">
        <v>65</v>
      </c>
      <c r="I35" s="73" t="s">
        <v>66</v>
      </c>
      <c r="J35" s="73" t="s">
        <v>66</v>
      </c>
      <c r="K35" s="73" t="s">
        <v>65</v>
      </c>
      <c r="L35" s="74">
        <v>0</v>
      </c>
      <c r="N35" s="7">
        <v>41748</v>
      </c>
    </row>
    <row r="36" spans="5:14">
      <c r="E36" s="17">
        <v>3</v>
      </c>
      <c r="F36" s="73">
        <v>0</v>
      </c>
      <c r="G36" s="73" t="s">
        <v>67</v>
      </c>
      <c r="H36" s="73" t="s">
        <v>67</v>
      </c>
      <c r="I36" s="73" t="s">
        <v>68</v>
      </c>
      <c r="J36" s="73" t="s">
        <v>68</v>
      </c>
      <c r="K36" s="73" t="s">
        <v>67</v>
      </c>
      <c r="L36" s="74">
        <v>0</v>
      </c>
      <c r="N36" s="7">
        <v>41749</v>
      </c>
    </row>
    <row r="37" spans="5:14" ht="15.75" thickBot="1">
      <c r="E37" s="19">
        <v>4</v>
      </c>
      <c r="F37" s="75">
        <v>0</v>
      </c>
      <c r="G37" s="75" t="s">
        <v>69</v>
      </c>
      <c r="H37" s="75" t="s">
        <v>69</v>
      </c>
      <c r="I37" s="75" t="s">
        <v>69</v>
      </c>
      <c r="J37" s="75" t="s">
        <v>69</v>
      </c>
      <c r="K37" s="75" t="s">
        <v>70</v>
      </c>
      <c r="L37" s="76">
        <v>0</v>
      </c>
      <c r="N37" s="7">
        <v>41750</v>
      </c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E14:L14"/>
    <mergeCell ref="E21:L21"/>
    <mergeCell ref="E28:L28"/>
    <mergeCell ref="B2:C2"/>
    <mergeCell ref="B3:C3"/>
    <mergeCell ref="E8:G9"/>
    <mergeCell ref="H8:J9"/>
    <mergeCell ref="B9:C9"/>
    <mergeCell ref="P9:S9"/>
    <mergeCell ref="E10:G11"/>
    <mergeCell ref="H10:J11"/>
    <mergeCell ref="E2:J2"/>
    <mergeCell ref="L2:R2"/>
    <mergeCell ref="E3:G3"/>
    <mergeCell ref="H3:J3"/>
    <mergeCell ref="L3:R4"/>
    <mergeCell ref="E4:G5"/>
    <mergeCell ref="H4:J5"/>
    <mergeCell ref="L5:R7"/>
    <mergeCell ref="E6:G7"/>
    <mergeCell ref="H6:J7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2013-08-25T01:22:38Z</dcterms:modified>
</cp:coreProperties>
</file>