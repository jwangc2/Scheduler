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R4" i="2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13"/>
  <c r="Q8" s="1"/>
  <c r="R8" s="1"/>
  <c r="D11" i="1"/>
  <c r="Q4" s="1"/>
  <c r="Q12" s="1"/>
  <c r="R12" s="1"/>
  <c r="R4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13"/>
  <c r="Q6" s="1"/>
  <c r="R6" s="1"/>
  <c r="D11" i="2"/>
  <c r="Q4" s="1"/>
  <c r="Q12" s="1"/>
  <c r="R12" s="1"/>
  <c r="Q6" l="1"/>
  <c r="R6" s="1"/>
  <c r="Q11"/>
  <c r="R11" s="1"/>
  <c r="Q13"/>
  <c r="R13" s="1"/>
  <c r="Q7"/>
  <c r="R7" s="1"/>
  <c r="Q9"/>
  <c r="R9" s="1"/>
  <c r="P4"/>
  <c r="Q10"/>
  <c r="R10" s="1"/>
  <c r="Q7" i="1"/>
  <c r="R7" s="1"/>
  <c r="Q9"/>
  <c r="R9" s="1"/>
  <c r="Q10"/>
  <c r="R10" s="1"/>
  <c r="P4"/>
  <c r="Q13"/>
  <c r="R13" s="1"/>
  <c r="Q11"/>
  <c r="R11" s="1"/>
  <c r="Q8"/>
  <c r="R8" s="1"/>
</calcChain>
</file>

<file path=xl/sharedStrings.xml><?xml version="1.0" encoding="utf-8"?>
<sst xmlns="http://schemas.openxmlformats.org/spreadsheetml/2006/main" count="130" uniqueCount="63">
  <si>
    <t>Holidays</t>
  </si>
  <si>
    <t>Block</t>
  </si>
  <si>
    <t>Period</t>
  </si>
  <si>
    <t>Class 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</si>
  <si>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</si>
  <si>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</si>
  <si>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</si>
  <si>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</si>
  <si>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</si>
  <si>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</si>
  <si>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</si>
  <si>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</si>
  <si>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</si>
  <si>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</si>
  <si>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</si>
  <si>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</si>
  <si>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</si>
  <si>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</si>
  <si>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</si>
  <si>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</si>
  <si>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</si>
  <si>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</si>
  <si>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</si>
  <si>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</si>
  <si>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</si>
  <si>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</si>
  <si>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</si>
  <si>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</si>
  <si>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</si>
  <si>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</si>
  <si>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1. Fill out your course names in Fig. 1 (Leave Period 8 as "Free")</t>
  </si>
  <si>
    <t>3. Read the results off the "Result" chart</t>
  </si>
  <si>
    <t>Instructions</t>
  </si>
  <si>
    <t>2. Fill out your rotational schedule in Fig. 2 (Using 8 as a Free period)</t>
  </si>
  <si>
    <t>3. Make sure all the holidays are correctly marked in Fig.3</t>
  </si>
  <si>
    <t>2. Enter the date for the desired schedule in Fig. 4</t>
  </si>
  <si>
    <t>Date to Schedule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</si>
  <si>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</t>
    </r>
  </si>
  <si>
    <r>
      <t xml:space="preserve">NOT the </t>
    </r>
    <r>
      <rPr>
        <sz val="11"/>
        <color rgb="FFC0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 </t>
    </r>
    <r>
      <rPr>
        <sz val="11"/>
        <color theme="3" tint="0.39997558519241921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Areas</t>
    </r>
  </si>
  <si>
    <t>Disclaimers</t>
  </si>
  <si>
    <t>1. This calculates your schedule on the assumption that it is always rolling from the PAD, except for weekends and holidays.</t>
  </si>
  <si>
    <t xml:space="preserve">4. Enter date of a Past A Day of Sem I in Fig.4 (e.g 8/15/2013) </t>
  </si>
  <si>
    <t>1. Use the LATEST A day (before Date to Schedule)</t>
  </si>
  <si>
    <t>WMS Scheduler I</t>
  </si>
  <si>
    <t>WMS Scheduler II</t>
  </si>
  <si>
    <t xml:space="preserve">4. Enter date of a Past A Day of Sem II in Fig.4 (e.g 1/6/2014) </t>
  </si>
  <si>
    <t>Day Number</t>
  </si>
  <si>
    <t>Empty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</si>
  <si>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</si>
  <si>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</si>
  <si>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</si>
  <si>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</si>
  <si>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</si>
  <si>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</si>
  <si>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</si>
  <si>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</si>
  <si>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</si>
  <si>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</si>
  <si>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</si>
  <si>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</si>
  <si>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</si>
  <si>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2. All the break / holiday dates from the Calendar have been added, except for wms exam days. This Scheduler works only for Semester I. See "Sheet2" (below) for the Semester II Scheduler.</t>
  </si>
  <si>
    <t>2. All the break / holiday dates from the Calendar have been added, except for wms exam days. This Scheduler works only for Semester II. See "Sheet1" (below) for the Semester I Scheduler.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</si>
</sst>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3" borderId="35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35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1" fillId="2" borderId="15" xfId="0" applyFont="1" applyFill="1" applyBorder="1" applyAlignment="1" applyProtection="1">
      <alignment horizontal="center"/>
    </xf>
    <xf numFmtId="0" fontId="1" fillId="2" borderId="19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1" fillId="4" borderId="19" xfId="0" applyFont="1" applyFill="1" applyBorder="1" applyAlignment="1" applyProtection="1">
      <alignment horizontal="center"/>
    </xf>
    <xf numFmtId="0" fontId="1" fillId="4" borderId="20" xfId="0" applyFont="1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0" fillId="2" borderId="6" xfId="0" applyFill="1" applyBorder="1" applyAlignment="1" applyProtection="1">
      <alignment horizontal="center"/>
    </xf>
    <xf numFmtId="2" fontId="0" fillId="2" borderId="16" xfId="0" applyNumberFormat="1" applyFill="1" applyBorder="1" applyAlignment="1" applyProtection="1">
      <alignment horizontal="center"/>
    </xf>
    <xf numFmtId="0" fontId="0" fillId="4" borderId="21" xfId="0" applyFill="1" applyBorder="1" applyAlignment="1" applyProtection="1">
      <alignment horizontal="center"/>
    </xf>
    <xf numFmtId="0" fontId="0" fillId="4" borderId="22" xfId="0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8" xfId="0" applyFill="1" applyBorder="1" applyProtection="1"/>
    <xf numFmtId="0" fontId="1" fillId="2" borderId="26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14" fontId="1" fillId="0" borderId="12" xfId="0" applyNumberFormat="1" applyFont="1" applyFill="1" applyBorder="1" applyAlignment="1" applyProtection="1"/>
    <xf numFmtId="14" fontId="0" fillId="0" borderId="12" xfId="0" applyNumberFormat="1" applyFill="1" applyBorder="1" applyAlignment="1" applyProtection="1">
      <protection locked="0"/>
    </xf>
    <xf numFmtId="0" fontId="1" fillId="0" borderId="12" xfId="0" applyFont="1" applyFill="1" applyBorder="1" applyAlignment="1" applyProtection="1"/>
    <xf numFmtId="14" fontId="0" fillId="0" borderId="0" xfId="0" applyNumberFormat="1" applyFill="1" applyBorder="1" applyAlignment="1" applyProtection="1">
      <alignment vertical="center"/>
      <protection locked="0"/>
    </xf>
    <xf numFmtId="2" fontId="0" fillId="0" borderId="0" xfId="0" applyNumberFormat="1" applyFill="1" applyBorder="1" applyAlignment="1" applyProtection="1"/>
    <xf numFmtId="0" fontId="1" fillId="0" borderId="0" xfId="0" applyFont="1" applyFill="1" applyBorder="1" applyAlignment="1" applyProtection="1"/>
    <xf numFmtId="14" fontId="1" fillId="2" borderId="15" xfId="0" applyNumberFormat="1" applyFont="1" applyFill="1" applyBorder="1" applyAlignment="1" applyProtection="1"/>
    <xf numFmtId="0" fontId="1" fillId="2" borderId="30" xfId="0" applyFont="1" applyFill="1" applyBorder="1" applyAlignment="1" applyProtection="1"/>
    <xf numFmtId="0" fontId="0" fillId="3" borderId="38" xfId="0" applyFill="1" applyBorder="1" applyProtection="1"/>
    <xf numFmtId="14" fontId="0" fillId="3" borderId="38" xfId="0" applyNumberFormat="1" applyFill="1" applyBorder="1" applyAlignment="1" applyProtection="1">
      <alignment horizontal="left" vertical="center"/>
      <protection locked="0"/>
    </xf>
    <xf numFmtId="14" fontId="0" fillId="3" borderId="29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Alignment="1" applyProtection="1"/>
    <xf numFmtId="0" fontId="1" fillId="2" borderId="20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2" borderId="3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/>
    </xf>
    <xf numFmtId="14" fontId="1" fillId="0" borderId="0" xfId="0" applyNumberFormat="1" applyFont="1" applyFill="1" applyBorder="1" applyAlignment="1" applyProtection="1"/>
    <xf numFmtId="14" fontId="0" fillId="0" borderId="0" xfId="0" applyNumberFormat="1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left" vertical="center"/>
      <protection locked="0"/>
    </xf>
    <xf numFmtId="14" fontId="0" fillId="0" borderId="0" xfId="0" applyNumberFormat="1" applyFill="1" applyBorder="1" applyAlignment="1" applyProtection="1">
      <alignment vertic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20" xfId="0" applyFont="1" applyFill="1" applyBorder="1" applyAlignment="1" applyProtection="1"/>
    <xf numFmtId="0" fontId="0" fillId="2" borderId="22" xfId="0" applyFill="1" applyBorder="1" applyAlignment="1" applyProtection="1">
      <alignment horizontal="left"/>
    </xf>
    <xf numFmtId="0" fontId="0" fillId="3" borderId="22" xfId="0" applyFill="1" applyBorder="1" applyAlignment="1" applyProtection="1">
      <protection locked="0"/>
    </xf>
    <xf numFmtId="0" fontId="0" fillId="2" borderId="23" xfId="0" applyFill="1" applyBorder="1" applyAlignment="1" applyProtection="1"/>
    <xf numFmtId="0" fontId="0" fillId="2" borderId="22" xfId="0" applyFill="1" applyBorder="1" applyAlignment="1" applyProtection="1"/>
    <xf numFmtId="0" fontId="0" fillId="2" borderId="8" xfId="0" applyFill="1" applyBorder="1" applyAlignment="1" applyProtection="1"/>
    <xf numFmtId="0" fontId="1" fillId="2" borderId="31" xfId="0" applyFont="1" applyFill="1" applyBorder="1" applyAlignment="1" applyProtection="1">
      <alignment horizontal="center"/>
    </xf>
    <xf numFmtId="0" fontId="0" fillId="2" borderId="21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6" borderId="32" xfId="0" applyFont="1" applyFill="1" applyBorder="1" applyAlignment="1" applyProtection="1">
      <alignment horizontal="center"/>
    </xf>
    <xf numFmtId="2" fontId="0" fillId="6" borderId="33" xfId="0" applyNumberFormat="1" applyFill="1" applyBorder="1" applyAlignment="1" applyProtection="1">
      <alignment horizontal="center"/>
    </xf>
    <xf numFmtId="14" fontId="0" fillId="6" borderId="34" xfId="0" applyNumberFormat="1" applyFill="1" applyBorder="1" applyAlignment="1" applyProtection="1">
      <alignment horizontal="left"/>
    </xf>
    <xf numFmtId="0" fontId="1" fillId="6" borderId="19" xfId="0" applyFont="1" applyFill="1" applyBorder="1" applyAlignment="1" applyProtection="1">
      <alignment horizontal="center"/>
    </xf>
    <xf numFmtId="0" fontId="1" fillId="6" borderId="31" xfId="0" applyFont="1" applyFill="1" applyBorder="1" applyAlignment="1" applyProtection="1">
      <alignment horizontal="center"/>
    </xf>
    <xf numFmtId="0" fontId="1" fillId="6" borderId="20" xfId="0" applyFont="1" applyFill="1" applyBorder="1" applyProtection="1"/>
    <xf numFmtId="1" fontId="7" fillId="4" borderId="1" xfId="0" applyNumberFormat="1" applyFont="1" applyFill="1" applyBorder="1" applyAlignment="1" applyProtection="1">
      <alignment horizontal="center"/>
    </xf>
    <xf numFmtId="0" fontId="0" fillId="6" borderId="21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0" fillId="6" borderId="22" xfId="0" applyFill="1" applyBorder="1" applyProtection="1"/>
    <xf numFmtId="0" fontId="7" fillId="4" borderId="1" xfId="0" applyFont="1" applyFill="1" applyBorder="1" applyAlignment="1" applyProtection="1">
      <alignment horizontal="center"/>
    </xf>
    <xf numFmtId="0" fontId="7" fillId="4" borderId="7" xfId="0" applyFont="1" applyFill="1" applyBorder="1" applyAlignment="1" applyProtection="1">
      <alignment horizontal="center"/>
    </xf>
    <xf numFmtId="0" fontId="1" fillId="5" borderId="17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8" xfId="0" applyFont="1" applyFill="1" applyBorder="1" applyAlignment="1" applyProtection="1">
      <alignment horizontal="center"/>
    </xf>
    <xf numFmtId="0" fontId="0" fillId="4" borderId="11" xfId="0" applyFill="1" applyBorder="1" applyAlignment="1" applyProtection="1">
      <alignment wrapText="1"/>
    </xf>
    <xf numFmtId="0" fontId="0" fillId="4" borderId="12" xfId="0" applyFill="1" applyBorder="1" applyAlignment="1" applyProtection="1">
      <alignment wrapText="1"/>
    </xf>
    <xf numFmtId="0" fontId="0" fillId="4" borderId="13" xfId="0" applyFill="1" applyBorder="1" applyAlignment="1" applyProtection="1">
      <alignment wrapText="1"/>
    </xf>
    <xf numFmtId="0" fontId="0" fillId="4" borderId="14" xfId="0" applyFill="1" applyBorder="1" applyAlignment="1" applyProtection="1">
      <alignment wrapText="1"/>
    </xf>
    <xf numFmtId="0" fontId="0" fillId="4" borderId="24" xfId="0" applyFill="1" applyBorder="1" applyAlignment="1" applyProtection="1">
      <alignment wrapText="1"/>
    </xf>
    <xf numFmtId="0" fontId="0" fillId="4" borderId="26" xfId="0" applyFill="1" applyBorder="1" applyAlignment="1" applyProtection="1">
      <alignment wrapText="1"/>
    </xf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0" fillId="4" borderId="25" xfId="0" applyFill="1" applyBorder="1" applyAlignment="1" applyProtection="1">
      <alignment wrapText="1"/>
    </xf>
    <xf numFmtId="0" fontId="0" fillId="4" borderId="28" xfId="0" applyFill="1" applyBorder="1" applyAlignment="1" applyProtection="1">
      <alignment wrapText="1"/>
    </xf>
    <xf numFmtId="0" fontId="1" fillId="5" borderId="9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0" fillId="4" borderId="9" xfId="0" applyFill="1" applyBorder="1" applyAlignment="1" applyProtection="1">
      <alignment wrapText="1"/>
    </xf>
    <xf numFmtId="0" fontId="0" fillId="4" borderId="10" xfId="0" applyFill="1" applyBorder="1" applyAlignment="1" applyProtection="1">
      <alignment wrapText="1"/>
    </xf>
    <xf numFmtId="0" fontId="0" fillId="4" borderId="36" xfId="0" applyFill="1" applyBorder="1" applyAlignment="1" applyProtection="1">
      <alignment wrapText="1"/>
    </xf>
    <xf numFmtId="0" fontId="0" fillId="4" borderId="37" xfId="0" applyFill="1" applyBorder="1" applyAlignment="1" applyProtection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U106"/>
  <sheetViews>
    <sheetView tabSelected="1" workbookViewId="0">
      <selection activeCell="D1" sqref="D1"/>
    </sheetView>
  </sheetViews>
  <sheetFormatPr defaultRowHeight="15"/>
  <cols>
    <col min="1" max="1" width="3" style="10" customWidth="1"/>
    <col min="2" max="2" width="18" style="10" customWidth="1"/>
    <col min="3" max="3" width="3.7109375" style="10" customWidth="1"/>
    <col min="4" max="4" width="20.140625" style="10" customWidth="1"/>
    <col min="5" max="5" width="12.85546875" style="32" customWidth="1"/>
    <col min="6" max="6" width="3.85546875" style="10" customWidth="1"/>
    <col min="7" max="7" width="6" style="10" customWidth="1"/>
    <col min="8" max="14" width="2.7109375" style="10" customWidth="1"/>
    <col min="15" max="15" width="4.28515625" style="10" customWidth="1"/>
    <col min="16" max="16" width="6.42578125" style="10" customWidth="1"/>
    <col min="17" max="17" width="8" style="10" customWidth="1"/>
    <col min="18" max="18" width="13.42578125" style="10" customWidth="1"/>
    <col min="19" max="19" width="4.140625" style="10" customWidth="1"/>
    <col min="20" max="20" width="31.42578125" style="10" customWidth="1"/>
    <col min="21" max="21" width="26.140625" style="10" customWidth="1"/>
    <col min="22" max="16384" width="9.140625" style="10"/>
  </cols>
  <sheetData>
    <row r="1" spans="2:21">
      <c r="B1" s="9" t="s">
        <v>43</v>
      </c>
      <c r="C1" s="9"/>
      <c r="D1" s="9" t="s">
        <v>22</v>
      </c>
      <c r="E1" s="51"/>
    </row>
    <row r="2" spans="2:21" ht="15.75" thickBot="1"/>
    <row r="3" spans="2:21" ht="15.75" thickBot="1">
      <c r="B3" s="11" t="s">
        <v>25</v>
      </c>
      <c r="D3" s="12" t="s">
        <v>26</v>
      </c>
      <c r="E3" s="52"/>
      <c r="G3" s="83" t="s">
        <v>24</v>
      </c>
      <c r="H3" s="84"/>
      <c r="I3" s="84"/>
      <c r="J3" s="84"/>
      <c r="K3" s="84"/>
      <c r="L3" s="84"/>
      <c r="M3" s="84"/>
      <c r="N3" s="85"/>
      <c r="P3" s="83" t="s">
        <v>27</v>
      </c>
      <c r="Q3" s="84"/>
      <c r="R3" s="85"/>
      <c r="T3" s="96" t="s">
        <v>32</v>
      </c>
      <c r="U3" s="97"/>
    </row>
    <row r="4" spans="2:21" ht="15.75" thickBot="1">
      <c r="B4" s="13" t="s">
        <v>0</v>
      </c>
      <c r="D4" s="41" t="s">
        <v>12</v>
      </c>
      <c r="E4" s="53"/>
      <c r="F4" s="35"/>
      <c r="G4" s="30" t="s">
        <v>1</v>
      </c>
      <c r="H4" s="15" t="s">
        <v>17</v>
      </c>
      <c r="I4" s="15" t="s">
        <v>14</v>
      </c>
      <c r="J4" s="15" t="s">
        <v>18</v>
      </c>
      <c r="K4" s="15" t="s">
        <v>19</v>
      </c>
      <c r="L4" s="15" t="s">
        <v>20</v>
      </c>
      <c r="M4" s="15" t="s">
        <v>15</v>
      </c>
      <c r="N4" s="16" t="s">
        <v>21</v>
      </c>
      <c r="P4" s="71" t="str">
        <f>INDEX(H4:N4, 1, Q4)</f>
        <v>G</v>
      </c>
      <c r="Q4" s="72">
        <f>MOD(D11, 7)+1</f>
        <v>7</v>
      </c>
      <c r="R4" s="73">
        <f>D8</f>
        <v>41509</v>
      </c>
      <c r="S4" s="17"/>
      <c r="T4" s="18" t="s">
        <v>28</v>
      </c>
      <c r="U4" s="19" t="s">
        <v>29</v>
      </c>
    </row>
    <row r="5" spans="2:21">
      <c r="B5" s="7">
        <v>41459</v>
      </c>
      <c r="D5" s="2">
        <v>41501</v>
      </c>
      <c r="E5" s="54"/>
      <c r="F5" s="36"/>
      <c r="G5" s="20">
        <v>1</v>
      </c>
      <c r="H5" s="3">
        <v>1</v>
      </c>
      <c r="I5" s="3">
        <v>5</v>
      </c>
      <c r="J5" s="3">
        <v>2</v>
      </c>
      <c r="K5" s="3">
        <v>6</v>
      </c>
      <c r="L5" s="3">
        <v>3</v>
      </c>
      <c r="M5" s="3">
        <v>8</v>
      </c>
      <c r="N5" s="4">
        <v>4</v>
      </c>
      <c r="P5" s="74" t="s">
        <v>1</v>
      </c>
      <c r="Q5" s="75" t="s">
        <v>2</v>
      </c>
      <c r="R5" s="76" t="s">
        <v>5</v>
      </c>
      <c r="S5" s="21"/>
      <c r="T5" s="90" t="s">
        <v>30</v>
      </c>
      <c r="U5" s="22" t="s">
        <v>37</v>
      </c>
    </row>
    <row r="6" spans="2:21">
      <c r="B6" s="7">
        <v>41519</v>
      </c>
      <c r="D6" s="42" t="s">
        <v>36</v>
      </c>
      <c r="E6" s="40"/>
      <c r="F6" s="37"/>
      <c r="G6" s="20">
        <v>2</v>
      </c>
      <c r="H6" s="3">
        <v>2</v>
      </c>
      <c r="I6" s="3">
        <v>6</v>
      </c>
      <c r="J6" s="3">
        <v>3</v>
      </c>
      <c r="K6" s="3">
        <v>7</v>
      </c>
      <c r="L6" s="3">
        <v>4</v>
      </c>
      <c r="M6" s="3">
        <v>1</v>
      </c>
      <c r="N6" s="4">
        <v>5</v>
      </c>
      <c r="P6" s="26">
        <v>0.5</v>
      </c>
      <c r="Q6" s="77">
        <f>INDEX(H12:N15, 1, D13)</f>
        <v>9</v>
      </c>
      <c r="R6" s="27" t="str">
        <f>INDEX(E17:E32, Q6+1, 1)</f>
        <v>Office Hours</v>
      </c>
      <c r="S6" s="21"/>
      <c r="T6" s="91"/>
      <c r="U6" s="23" t="s">
        <v>38</v>
      </c>
    </row>
    <row r="7" spans="2:21">
      <c r="B7" s="7">
        <v>41561</v>
      </c>
      <c r="D7" s="43"/>
      <c r="F7" s="38"/>
      <c r="G7" s="20">
        <v>3</v>
      </c>
      <c r="H7" s="3">
        <v>3</v>
      </c>
      <c r="I7" s="3">
        <v>8</v>
      </c>
      <c r="J7" s="3">
        <v>4</v>
      </c>
      <c r="K7" s="3">
        <v>1</v>
      </c>
      <c r="L7" s="3">
        <v>5</v>
      </c>
      <c r="M7" s="3">
        <v>2</v>
      </c>
      <c r="N7" s="4">
        <v>6</v>
      </c>
      <c r="P7" s="78">
        <v>1</v>
      </c>
      <c r="Q7" s="79">
        <f>INDEX(H5:N8,P7, Q4)</f>
        <v>4</v>
      </c>
      <c r="R7" s="80" t="str">
        <f>INDEX(E18:E25, Q7, 1)</f>
        <v>Bible</v>
      </c>
      <c r="S7" s="21"/>
      <c r="T7" s="90" t="s">
        <v>33</v>
      </c>
      <c r="U7" s="92" t="s">
        <v>42</v>
      </c>
    </row>
    <row r="8" spans="2:21" ht="15.75" thickBot="1">
      <c r="B8" s="7">
        <v>41563</v>
      </c>
      <c r="D8" s="44">
        <v>41509</v>
      </c>
      <c r="E8" s="55"/>
      <c r="F8" s="38"/>
      <c r="G8" s="24">
        <v>4</v>
      </c>
      <c r="H8" s="5">
        <v>4</v>
      </c>
      <c r="I8" s="5">
        <v>1</v>
      </c>
      <c r="J8" s="5">
        <v>5</v>
      </c>
      <c r="K8" s="5">
        <v>2</v>
      </c>
      <c r="L8" s="5">
        <v>6</v>
      </c>
      <c r="M8" s="5">
        <v>3</v>
      </c>
      <c r="N8" s="6">
        <v>7</v>
      </c>
      <c r="P8" s="26">
        <v>1.5</v>
      </c>
      <c r="Q8" s="81">
        <f>INDEX(H12:N15, 2, D13)</f>
        <v>12</v>
      </c>
      <c r="R8" s="27" t="str">
        <f>INDEX(E17:E32, Q8+1, 1)</f>
        <v>ADV</v>
      </c>
      <c r="T8" s="91"/>
      <c r="U8" s="93"/>
    </row>
    <row r="9" spans="2:21" ht="15.75" thickBot="1">
      <c r="B9" s="7">
        <v>41565</v>
      </c>
      <c r="D9" s="45"/>
      <c r="E9" s="56"/>
      <c r="F9" s="38"/>
      <c r="P9" s="78">
        <v>2</v>
      </c>
      <c r="Q9" s="79">
        <f>INDEX(H5:N8,P9, Q4)</f>
        <v>5</v>
      </c>
      <c r="R9" s="80" t="str">
        <f>INDEX(E18:E25, Q9, 1)</f>
        <v>English</v>
      </c>
      <c r="T9" s="90" t="s">
        <v>34</v>
      </c>
      <c r="U9" s="92" t="s">
        <v>35</v>
      </c>
    </row>
    <row r="10" spans="2:21" ht="15.75" thickBot="1">
      <c r="B10" s="7">
        <v>41575</v>
      </c>
      <c r="D10" s="42" t="s">
        <v>13</v>
      </c>
      <c r="E10" s="40"/>
      <c r="F10" s="40"/>
      <c r="G10" s="83" t="s">
        <v>55</v>
      </c>
      <c r="H10" s="84"/>
      <c r="I10" s="84"/>
      <c r="J10" s="84"/>
      <c r="K10" s="84"/>
      <c r="L10" s="84"/>
      <c r="M10" s="84"/>
      <c r="N10" s="85"/>
      <c r="P10" s="78">
        <v>3</v>
      </c>
      <c r="Q10" s="79">
        <f>INDEX(H5:N8,P10, Q4)</f>
        <v>6</v>
      </c>
      <c r="R10" s="80" t="str">
        <f>INDEX(E18:E25, Q10, 1)</f>
        <v>Orchestra</v>
      </c>
      <c r="T10" s="91"/>
      <c r="U10" s="93"/>
    </row>
    <row r="11" spans="2:21" ht="15.75" thickBot="1">
      <c r="B11" s="7">
        <v>41603</v>
      </c>
      <c r="D11" s="25">
        <f>MAX(NETWORKDAYS(D5, D8,B5:B106)-1, 0)</f>
        <v>6</v>
      </c>
      <c r="E11" s="57"/>
      <c r="F11" s="39"/>
      <c r="G11" s="14" t="s">
        <v>1</v>
      </c>
      <c r="H11" s="64" t="s">
        <v>56</v>
      </c>
      <c r="I11" s="64" t="s">
        <v>57</v>
      </c>
      <c r="J11" s="64" t="s">
        <v>58</v>
      </c>
      <c r="K11" s="64" t="s">
        <v>59</v>
      </c>
      <c r="L11" s="64" t="s">
        <v>60</v>
      </c>
      <c r="M11" s="64" t="s">
        <v>15</v>
      </c>
      <c r="N11" s="48" t="s">
        <v>56</v>
      </c>
      <c r="P11" s="26">
        <v>3.5</v>
      </c>
      <c r="Q11" s="81">
        <f>INDEX(H12:N15, 3, D13)</f>
        <v>10</v>
      </c>
      <c r="R11" s="27" t="str">
        <f>INDEX(E17:E32, Q11+1, 1)</f>
        <v>Break</v>
      </c>
      <c r="T11" s="90" t="s">
        <v>41</v>
      </c>
      <c r="U11" s="92" t="s">
        <v>31</v>
      </c>
    </row>
    <row r="12" spans="2:21" ht="15.75" thickBot="1">
      <c r="B12" s="7">
        <v>41604</v>
      </c>
      <c r="D12" s="50" t="s">
        <v>46</v>
      </c>
      <c r="E12" s="52"/>
      <c r="G12" s="65">
        <v>0.5</v>
      </c>
      <c r="H12" s="66">
        <v>0</v>
      </c>
      <c r="I12" s="66">
        <v>9</v>
      </c>
      <c r="J12" s="66">
        <v>13</v>
      </c>
      <c r="K12" s="66">
        <v>14</v>
      </c>
      <c r="L12" s="66">
        <v>13</v>
      </c>
      <c r="M12" s="66">
        <v>9</v>
      </c>
      <c r="N12" s="67">
        <v>0</v>
      </c>
      <c r="P12" s="78">
        <v>4</v>
      </c>
      <c r="Q12" s="79">
        <f>INDEX(H5:N8,P12, Q4)</f>
        <v>7</v>
      </c>
      <c r="R12" s="80" t="str">
        <f>INDEX(E18:E25, Q12, 1)</f>
        <v>Physics</v>
      </c>
      <c r="T12" s="94"/>
      <c r="U12" s="95"/>
    </row>
    <row r="13" spans="2:21" ht="15.75" thickBot="1">
      <c r="B13" s="7">
        <v>41605</v>
      </c>
      <c r="D13" s="25">
        <f>WEEKDAY(D8)</f>
        <v>6</v>
      </c>
      <c r="E13" s="57"/>
      <c r="G13" s="65">
        <v>1.5</v>
      </c>
      <c r="H13" s="66">
        <v>0</v>
      </c>
      <c r="I13" s="66">
        <v>10</v>
      </c>
      <c r="J13" s="66">
        <v>10</v>
      </c>
      <c r="K13" s="66">
        <v>10</v>
      </c>
      <c r="L13" s="66">
        <v>11</v>
      </c>
      <c r="M13" s="66">
        <v>12</v>
      </c>
      <c r="N13" s="67">
        <v>0</v>
      </c>
      <c r="P13" s="28">
        <v>4.5</v>
      </c>
      <c r="Q13" s="82">
        <f>INDEX(H12:N15, 4, D13)</f>
        <v>0</v>
      </c>
      <c r="R13" s="29" t="str">
        <f>INDEX(E17:E32, Q13+1, 1)</f>
        <v>Empty</v>
      </c>
    </row>
    <row r="14" spans="2:21" ht="15.75" thickBot="1">
      <c r="B14" s="7">
        <v>41606</v>
      </c>
      <c r="G14" s="65">
        <v>3.5</v>
      </c>
      <c r="H14" s="66">
        <v>0</v>
      </c>
      <c r="I14" s="66">
        <v>15</v>
      </c>
      <c r="J14" s="66">
        <v>15</v>
      </c>
      <c r="K14" s="66">
        <v>10</v>
      </c>
      <c r="L14" s="66">
        <v>10</v>
      </c>
      <c r="M14" s="66">
        <v>10</v>
      </c>
      <c r="N14" s="67">
        <v>0</v>
      </c>
      <c r="P14" s="32"/>
      <c r="Q14" s="31"/>
      <c r="R14" s="70"/>
      <c r="T14" s="83" t="s">
        <v>39</v>
      </c>
      <c r="U14" s="85"/>
    </row>
    <row r="15" spans="2:21" ht="15.75" thickBot="1">
      <c r="B15" s="7">
        <v>41607</v>
      </c>
      <c r="D15" s="83" t="s">
        <v>23</v>
      </c>
      <c r="E15" s="85"/>
      <c r="G15" s="68">
        <v>4.5</v>
      </c>
      <c r="H15" s="69">
        <v>0</v>
      </c>
      <c r="I15" s="69">
        <v>9</v>
      </c>
      <c r="J15" s="69">
        <v>9</v>
      </c>
      <c r="K15" s="69">
        <v>9</v>
      </c>
      <c r="L15" s="69">
        <v>9</v>
      </c>
      <c r="M15" s="69">
        <v>0</v>
      </c>
      <c r="N15" s="49">
        <v>0</v>
      </c>
      <c r="P15" s="32"/>
      <c r="Q15" s="31"/>
      <c r="R15" s="70"/>
      <c r="T15" s="98" t="s">
        <v>40</v>
      </c>
      <c r="U15" s="99"/>
    </row>
    <row r="16" spans="2:21">
      <c r="B16" s="7"/>
      <c r="D16" s="14" t="s">
        <v>3</v>
      </c>
      <c r="E16" s="58" t="s">
        <v>4</v>
      </c>
      <c r="G16" s="46"/>
      <c r="P16" s="32"/>
      <c r="Q16" s="31"/>
      <c r="R16" s="70"/>
      <c r="T16" s="100"/>
      <c r="U16" s="101"/>
    </row>
    <row r="17" spans="2:21">
      <c r="B17" s="7"/>
      <c r="D17" s="20">
        <v>0</v>
      </c>
      <c r="E17" s="59" t="s">
        <v>47</v>
      </c>
      <c r="G17" s="46"/>
      <c r="P17" s="32"/>
      <c r="Q17" s="31"/>
      <c r="R17" s="70"/>
      <c r="T17" s="86" t="s">
        <v>61</v>
      </c>
      <c r="U17" s="87"/>
    </row>
    <row r="18" spans="2:21">
      <c r="B18" s="7"/>
      <c r="D18" s="20">
        <v>1</v>
      </c>
      <c r="E18" s="60" t="s">
        <v>7</v>
      </c>
      <c r="G18" s="46"/>
      <c r="P18" s="32"/>
      <c r="Q18" s="31"/>
      <c r="R18" s="70"/>
      <c r="T18" s="86"/>
      <c r="U18" s="87"/>
    </row>
    <row r="19" spans="2:21" ht="15.75" thickBot="1">
      <c r="B19" s="7"/>
      <c r="D19" s="20">
        <f>D18+1</f>
        <v>2</v>
      </c>
      <c r="E19" s="60" t="s">
        <v>6</v>
      </c>
      <c r="G19" s="46"/>
      <c r="P19" s="32"/>
      <c r="Q19" s="31"/>
      <c r="R19" s="70"/>
      <c r="T19" s="88"/>
      <c r="U19" s="89"/>
    </row>
    <row r="20" spans="2:21">
      <c r="B20" s="7"/>
      <c r="D20" s="20">
        <f t="shared" ref="D20:D32" si="0">D19+1</f>
        <v>3</v>
      </c>
      <c r="E20" s="60" t="s">
        <v>8</v>
      </c>
      <c r="G20" s="46"/>
      <c r="P20" s="32"/>
      <c r="Q20" s="31"/>
      <c r="R20" s="31"/>
    </row>
    <row r="21" spans="2:21">
      <c r="B21" s="7"/>
      <c r="D21" s="20">
        <f t="shared" si="0"/>
        <v>4</v>
      </c>
      <c r="E21" s="60" t="s">
        <v>9</v>
      </c>
      <c r="G21" s="46"/>
      <c r="P21" s="31"/>
      <c r="Q21" s="31"/>
      <c r="R21" s="32"/>
    </row>
    <row r="22" spans="2:21">
      <c r="B22" s="7"/>
      <c r="D22" s="20">
        <f t="shared" si="0"/>
        <v>5</v>
      </c>
      <c r="E22" s="60" t="s">
        <v>10</v>
      </c>
      <c r="G22" s="47"/>
      <c r="P22" s="31"/>
      <c r="Q22" s="31"/>
      <c r="R22" s="32"/>
    </row>
    <row r="23" spans="2:21">
      <c r="B23" s="7"/>
      <c r="D23" s="20">
        <f t="shared" si="0"/>
        <v>6</v>
      </c>
      <c r="E23" s="60" t="s">
        <v>11</v>
      </c>
      <c r="P23" s="31"/>
      <c r="Q23" s="31"/>
      <c r="R23" s="32"/>
    </row>
    <row r="24" spans="2:21">
      <c r="B24" s="7"/>
      <c r="D24" s="20">
        <f t="shared" si="0"/>
        <v>7</v>
      </c>
      <c r="E24" s="60" t="s">
        <v>8</v>
      </c>
    </row>
    <row r="25" spans="2:21">
      <c r="B25" s="7"/>
      <c r="D25" s="20">
        <f t="shared" si="0"/>
        <v>8</v>
      </c>
      <c r="E25" s="61" t="s">
        <v>16</v>
      </c>
    </row>
    <row r="26" spans="2:21">
      <c r="B26" s="7"/>
      <c r="D26" s="20">
        <f t="shared" si="0"/>
        <v>9</v>
      </c>
      <c r="E26" s="62" t="s">
        <v>48</v>
      </c>
    </row>
    <row r="27" spans="2:21">
      <c r="B27" s="7"/>
      <c r="D27" s="20">
        <f t="shared" si="0"/>
        <v>10</v>
      </c>
      <c r="E27" s="62" t="s">
        <v>49</v>
      </c>
    </row>
    <row r="28" spans="2:21">
      <c r="B28" s="7"/>
      <c r="D28" s="20">
        <f t="shared" si="0"/>
        <v>11</v>
      </c>
      <c r="E28" s="62" t="s">
        <v>50</v>
      </c>
    </row>
    <row r="29" spans="2:21">
      <c r="B29" s="7"/>
      <c r="D29" s="20">
        <f t="shared" si="0"/>
        <v>12</v>
      </c>
      <c r="E29" s="62" t="s">
        <v>51</v>
      </c>
    </row>
    <row r="30" spans="2:21">
      <c r="B30" s="7"/>
      <c r="D30" s="20">
        <f t="shared" si="0"/>
        <v>13</v>
      </c>
      <c r="E30" s="62" t="s">
        <v>52</v>
      </c>
    </row>
    <row r="31" spans="2:21">
      <c r="B31" s="7"/>
      <c r="D31" s="20">
        <f t="shared" si="0"/>
        <v>14</v>
      </c>
      <c r="E31" s="62" t="s">
        <v>53</v>
      </c>
    </row>
    <row r="32" spans="2:21" ht="15.75" thickBot="1">
      <c r="B32" s="7"/>
      <c r="D32" s="24">
        <f t="shared" si="0"/>
        <v>15</v>
      </c>
      <c r="E32" s="63" t="s">
        <v>54</v>
      </c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 ht="15.75" thickBot="1">
      <c r="B106" s="8"/>
    </row>
  </sheetData>
  <sheetProtection password="C836" sheet="1" objects="1" scenarios="1" formatColumns="0" formatRows="0"/>
  <mergeCells count="15">
    <mergeCell ref="G3:N3"/>
    <mergeCell ref="P3:R3"/>
    <mergeCell ref="D15:E15"/>
    <mergeCell ref="G10:N10"/>
    <mergeCell ref="T17:U19"/>
    <mergeCell ref="T7:T8"/>
    <mergeCell ref="U7:U8"/>
    <mergeCell ref="T9:T10"/>
    <mergeCell ref="U9:U10"/>
    <mergeCell ref="T11:T12"/>
    <mergeCell ref="U11:U12"/>
    <mergeCell ref="T3:U3"/>
    <mergeCell ref="T5:T6"/>
    <mergeCell ref="T14:U14"/>
    <mergeCell ref="T15:U16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106"/>
  <sheetViews>
    <sheetView workbookViewId="0">
      <selection activeCell="D1" sqref="D1"/>
    </sheetView>
  </sheetViews>
  <sheetFormatPr defaultRowHeight="15"/>
  <cols>
    <col min="1" max="1" width="3" style="10" customWidth="1"/>
    <col min="2" max="2" width="18" style="10" customWidth="1"/>
    <col min="3" max="3" width="3.7109375" style="10" customWidth="1"/>
    <col min="4" max="4" width="20.140625" style="10" customWidth="1"/>
    <col min="5" max="5" width="12.85546875" style="32" customWidth="1"/>
    <col min="6" max="6" width="3.85546875" style="10" customWidth="1"/>
    <col min="7" max="7" width="6" style="10" customWidth="1"/>
    <col min="8" max="14" width="2.7109375" style="10" customWidth="1"/>
    <col min="15" max="15" width="4.28515625" style="10" customWidth="1"/>
    <col min="16" max="16" width="6.42578125" style="10" customWidth="1"/>
    <col min="17" max="17" width="8" style="10" customWidth="1"/>
    <col min="18" max="18" width="13.42578125" style="10" customWidth="1"/>
    <col min="19" max="19" width="4.140625" style="10" customWidth="1"/>
    <col min="20" max="20" width="31.42578125" style="10" customWidth="1"/>
    <col min="21" max="21" width="26.140625" style="10" customWidth="1"/>
    <col min="22" max="16384" width="9.140625" style="10"/>
  </cols>
  <sheetData>
    <row r="1" spans="2:21">
      <c r="B1" s="9" t="s">
        <v>44</v>
      </c>
      <c r="C1" s="9"/>
      <c r="D1" s="9" t="s">
        <v>22</v>
      </c>
      <c r="E1" s="51"/>
    </row>
    <row r="2" spans="2:21" ht="15.75" thickBot="1"/>
    <row r="3" spans="2:21" ht="15.75" thickBot="1">
      <c r="B3" s="11" t="s">
        <v>25</v>
      </c>
      <c r="D3" s="12" t="s">
        <v>26</v>
      </c>
      <c r="E3" s="52"/>
      <c r="G3" s="83" t="s">
        <v>24</v>
      </c>
      <c r="H3" s="84"/>
      <c r="I3" s="84"/>
      <c r="J3" s="84"/>
      <c r="K3" s="84"/>
      <c r="L3" s="84"/>
      <c r="M3" s="84"/>
      <c r="N3" s="85"/>
      <c r="P3" s="83" t="s">
        <v>27</v>
      </c>
      <c r="Q3" s="84"/>
      <c r="R3" s="85"/>
      <c r="T3" s="96" t="s">
        <v>32</v>
      </c>
      <c r="U3" s="97"/>
    </row>
    <row r="4" spans="2:21" ht="15.75" thickBot="1">
      <c r="B4" s="13" t="s">
        <v>0</v>
      </c>
      <c r="D4" s="41" t="s">
        <v>12</v>
      </c>
      <c r="E4" s="53"/>
      <c r="F4" s="35"/>
      <c r="G4" s="30" t="s">
        <v>1</v>
      </c>
      <c r="H4" s="15" t="s">
        <v>17</v>
      </c>
      <c r="I4" s="15" t="s">
        <v>14</v>
      </c>
      <c r="J4" s="15" t="s">
        <v>18</v>
      </c>
      <c r="K4" s="15" t="s">
        <v>19</v>
      </c>
      <c r="L4" s="15" t="s">
        <v>20</v>
      </c>
      <c r="M4" s="15" t="s">
        <v>15</v>
      </c>
      <c r="N4" s="16" t="s">
        <v>21</v>
      </c>
      <c r="P4" s="71" t="str">
        <f>INDEX(H4:N4, 1, Q4)</f>
        <v>G</v>
      </c>
      <c r="Q4" s="72">
        <f>MOD(D11, 7)+1</f>
        <v>7</v>
      </c>
      <c r="R4" s="73">
        <f>D8</f>
        <v>41773</v>
      </c>
      <c r="S4" s="17"/>
      <c r="T4" s="18" t="s">
        <v>28</v>
      </c>
      <c r="U4" s="19" t="s">
        <v>29</v>
      </c>
    </row>
    <row r="5" spans="2:21">
      <c r="B5" s="7">
        <v>41659</v>
      </c>
      <c r="D5" s="2">
        <v>41645</v>
      </c>
      <c r="E5" s="54"/>
      <c r="F5" s="36"/>
      <c r="G5" s="20">
        <v>1</v>
      </c>
      <c r="H5" s="3">
        <v>1</v>
      </c>
      <c r="I5" s="3">
        <v>5</v>
      </c>
      <c r="J5" s="3">
        <v>2</v>
      </c>
      <c r="K5" s="3">
        <v>6</v>
      </c>
      <c r="L5" s="3">
        <v>3</v>
      </c>
      <c r="M5" s="3">
        <v>8</v>
      </c>
      <c r="N5" s="4">
        <v>4</v>
      </c>
      <c r="P5" s="74" t="s">
        <v>1</v>
      </c>
      <c r="Q5" s="75" t="s">
        <v>2</v>
      </c>
      <c r="R5" s="76" t="s">
        <v>5</v>
      </c>
      <c r="S5" s="21"/>
      <c r="T5" s="90" t="s">
        <v>30</v>
      </c>
      <c r="U5" s="33" t="s">
        <v>37</v>
      </c>
    </row>
    <row r="6" spans="2:21">
      <c r="B6" s="7">
        <v>41687</v>
      </c>
      <c r="D6" s="42" t="s">
        <v>36</v>
      </c>
      <c r="E6" s="40"/>
      <c r="F6" s="37"/>
      <c r="G6" s="20">
        <v>2</v>
      </c>
      <c r="H6" s="3">
        <v>2</v>
      </c>
      <c r="I6" s="3">
        <v>6</v>
      </c>
      <c r="J6" s="3">
        <v>3</v>
      </c>
      <c r="K6" s="3">
        <v>7</v>
      </c>
      <c r="L6" s="3">
        <v>4</v>
      </c>
      <c r="M6" s="3">
        <v>1</v>
      </c>
      <c r="N6" s="4">
        <v>5</v>
      </c>
      <c r="P6" s="26">
        <v>0.5</v>
      </c>
      <c r="Q6" s="77">
        <f>INDEX(H12:N15, 1, D13)</f>
        <v>14</v>
      </c>
      <c r="R6" s="27" t="str">
        <f>INDEX(E17:E32, Q6+1, 1)</f>
        <v>FAC MTGS</v>
      </c>
      <c r="S6" s="21"/>
      <c r="T6" s="91"/>
      <c r="U6" s="34" t="s">
        <v>38</v>
      </c>
    </row>
    <row r="7" spans="2:21">
      <c r="B7" s="7">
        <v>41706</v>
      </c>
      <c r="D7" s="43"/>
      <c r="F7" s="38"/>
      <c r="G7" s="20">
        <v>3</v>
      </c>
      <c r="H7" s="3">
        <v>3</v>
      </c>
      <c r="I7" s="3">
        <v>8</v>
      </c>
      <c r="J7" s="3">
        <v>4</v>
      </c>
      <c r="K7" s="3">
        <v>1</v>
      </c>
      <c r="L7" s="3">
        <v>5</v>
      </c>
      <c r="M7" s="3">
        <v>2</v>
      </c>
      <c r="N7" s="4">
        <v>6</v>
      </c>
      <c r="P7" s="78">
        <v>1</v>
      </c>
      <c r="Q7" s="79">
        <f>INDEX(H5:N8,P7, Q4)</f>
        <v>4</v>
      </c>
      <c r="R7" s="80" t="str">
        <f>INDEX(E18:E25, Q7, 1)</f>
        <v>Bible</v>
      </c>
      <c r="S7" s="21"/>
      <c r="T7" s="90" t="s">
        <v>33</v>
      </c>
      <c r="U7" s="92" t="s">
        <v>42</v>
      </c>
    </row>
    <row r="8" spans="2:21" ht="15.75" thickBot="1">
      <c r="B8" s="7">
        <v>41707</v>
      </c>
      <c r="D8" s="44">
        <v>41773</v>
      </c>
      <c r="E8" s="55"/>
      <c r="F8" s="38"/>
      <c r="G8" s="24">
        <v>4</v>
      </c>
      <c r="H8" s="5">
        <v>4</v>
      </c>
      <c r="I8" s="5">
        <v>1</v>
      </c>
      <c r="J8" s="5">
        <v>5</v>
      </c>
      <c r="K8" s="5">
        <v>2</v>
      </c>
      <c r="L8" s="5">
        <v>6</v>
      </c>
      <c r="M8" s="5">
        <v>3</v>
      </c>
      <c r="N8" s="6">
        <v>7</v>
      </c>
      <c r="P8" s="26">
        <v>1.5</v>
      </c>
      <c r="Q8" s="81">
        <f>INDEX(H12:N15, 2, D13)</f>
        <v>10</v>
      </c>
      <c r="R8" s="27" t="str">
        <f>INDEX(E17:E32, Q8+1, 1)</f>
        <v>Break</v>
      </c>
      <c r="T8" s="91"/>
      <c r="U8" s="93"/>
    </row>
    <row r="9" spans="2:21" ht="15.75" thickBot="1">
      <c r="B9" s="7">
        <v>41708</v>
      </c>
      <c r="D9" s="45"/>
      <c r="E9" s="56"/>
      <c r="F9" s="38"/>
      <c r="P9" s="78">
        <v>2</v>
      </c>
      <c r="Q9" s="79">
        <f>INDEX(H5:N8,P9, Q4)</f>
        <v>5</v>
      </c>
      <c r="R9" s="80" t="str">
        <f>INDEX(E18:E25, Q9, 1)</f>
        <v>English</v>
      </c>
      <c r="T9" s="90" t="s">
        <v>34</v>
      </c>
      <c r="U9" s="92" t="s">
        <v>35</v>
      </c>
    </row>
    <row r="10" spans="2:21" ht="15.75" thickBot="1">
      <c r="B10" s="7">
        <v>41709</v>
      </c>
      <c r="D10" s="42" t="s">
        <v>13</v>
      </c>
      <c r="E10" s="40"/>
      <c r="F10" s="40"/>
      <c r="G10" s="83" t="s">
        <v>55</v>
      </c>
      <c r="H10" s="84"/>
      <c r="I10" s="84"/>
      <c r="J10" s="84"/>
      <c r="K10" s="84"/>
      <c r="L10" s="84"/>
      <c r="M10" s="84"/>
      <c r="N10" s="85"/>
      <c r="P10" s="78">
        <v>3</v>
      </c>
      <c r="Q10" s="79">
        <f>INDEX(H5:N8,P10, Q4)</f>
        <v>6</v>
      </c>
      <c r="R10" s="80" t="str">
        <f>INDEX(E18:E25, Q10, 1)</f>
        <v>Orchestra</v>
      </c>
      <c r="T10" s="91"/>
      <c r="U10" s="93"/>
    </row>
    <row r="11" spans="2:21" ht="15.75" thickBot="1">
      <c r="B11" s="7">
        <v>41710</v>
      </c>
      <c r="D11" s="25">
        <f>MAX(NETWORKDAYS(D5, D8,B5:B106)-1, 0)</f>
        <v>83</v>
      </c>
      <c r="E11" s="57"/>
      <c r="F11" s="39"/>
      <c r="G11" s="14" t="s">
        <v>1</v>
      </c>
      <c r="H11" s="64" t="s">
        <v>56</v>
      </c>
      <c r="I11" s="64" t="s">
        <v>57</v>
      </c>
      <c r="J11" s="64" t="s">
        <v>58</v>
      </c>
      <c r="K11" s="64" t="s">
        <v>59</v>
      </c>
      <c r="L11" s="64" t="s">
        <v>60</v>
      </c>
      <c r="M11" s="64" t="s">
        <v>15</v>
      </c>
      <c r="N11" s="48" t="s">
        <v>56</v>
      </c>
      <c r="P11" s="26">
        <v>3.5</v>
      </c>
      <c r="Q11" s="81">
        <f>INDEX(H12:N15, 3, D13)</f>
        <v>10</v>
      </c>
      <c r="R11" s="27" t="str">
        <f>INDEX(E17:E32, Q11+1, 1)</f>
        <v>Break</v>
      </c>
      <c r="T11" s="90" t="s">
        <v>45</v>
      </c>
      <c r="U11" s="92" t="s">
        <v>31</v>
      </c>
    </row>
    <row r="12" spans="2:21" ht="15.75" thickBot="1">
      <c r="B12" s="7">
        <v>41711</v>
      </c>
      <c r="D12" s="50" t="s">
        <v>46</v>
      </c>
      <c r="E12" s="52"/>
      <c r="G12" s="65">
        <v>0.5</v>
      </c>
      <c r="H12" s="66">
        <v>0</v>
      </c>
      <c r="I12" s="66">
        <v>9</v>
      </c>
      <c r="J12" s="66">
        <v>13</v>
      </c>
      <c r="K12" s="66">
        <v>14</v>
      </c>
      <c r="L12" s="66">
        <v>13</v>
      </c>
      <c r="M12" s="66">
        <v>9</v>
      </c>
      <c r="N12" s="67">
        <v>0</v>
      </c>
      <c r="P12" s="78">
        <v>4</v>
      </c>
      <c r="Q12" s="79">
        <f>INDEX(H5:N8,P12, Q4)</f>
        <v>7</v>
      </c>
      <c r="R12" s="80" t="str">
        <f>INDEX(E18:E25, Q12, 1)</f>
        <v>Physics</v>
      </c>
      <c r="T12" s="94"/>
      <c r="U12" s="95"/>
    </row>
    <row r="13" spans="2:21" ht="15.75" thickBot="1">
      <c r="B13" s="7">
        <v>41712</v>
      </c>
      <c r="D13" s="25">
        <f>WEEKDAY(D8)</f>
        <v>4</v>
      </c>
      <c r="E13" s="57"/>
      <c r="G13" s="65">
        <v>1.5</v>
      </c>
      <c r="H13" s="66">
        <v>0</v>
      </c>
      <c r="I13" s="66">
        <v>10</v>
      </c>
      <c r="J13" s="66">
        <v>10</v>
      </c>
      <c r="K13" s="66">
        <v>10</v>
      </c>
      <c r="L13" s="66">
        <v>11</v>
      </c>
      <c r="M13" s="66">
        <v>12</v>
      </c>
      <c r="N13" s="67">
        <v>0</v>
      </c>
      <c r="P13" s="28">
        <v>4.5</v>
      </c>
      <c r="Q13" s="82">
        <f>INDEX(H12:N15, 4, D13)</f>
        <v>9</v>
      </c>
      <c r="R13" s="29" t="str">
        <f>INDEX(E17:E32, Q13+1, 1)</f>
        <v>Office Hours</v>
      </c>
    </row>
    <row r="14" spans="2:21" ht="15.75" thickBot="1">
      <c r="B14" s="7">
        <v>41713</v>
      </c>
      <c r="G14" s="65">
        <v>3.5</v>
      </c>
      <c r="H14" s="66">
        <v>0</v>
      </c>
      <c r="I14" s="66">
        <v>15</v>
      </c>
      <c r="J14" s="66">
        <v>15</v>
      </c>
      <c r="K14" s="66">
        <v>10</v>
      </c>
      <c r="L14" s="66">
        <v>10</v>
      </c>
      <c r="M14" s="66">
        <v>10</v>
      </c>
      <c r="N14" s="67">
        <v>0</v>
      </c>
      <c r="P14" s="32"/>
      <c r="Q14" s="31"/>
      <c r="R14" s="70"/>
      <c r="T14" s="83" t="s">
        <v>39</v>
      </c>
      <c r="U14" s="85"/>
    </row>
    <row r="15" spans="2:21" ht="15.75" thickBot="1">
      <c r="B15" s="7">
        <v>41714</v>
      </c>
      <c r="D15" s="83" t="s">
        <v>23</v>
      </c>
      <c r="E15" s="85"/>
      <c r="G15" s="68">
        <v>4.5</v>
      </c>
      <c r="H15" s="69">
        <v>0</v>
      </c>
      <c r="I15" s="69">
        <v>9</v>
      </c>
      <c r="J15" s="69">
        <v>9</v>
      </c>
      <c r="K15" s="69">
        <v>9</v>
      </c>
      <c r="L15" s="69">
        <v>9</v>
      </c>
      <c r="M15" s="69">
        <v>0</v>
      </c>
      <c r="N15" s="49">
        <v>0</v>
      </c>
      <c r="P15" s="32"/>
      <c r="Q15" s="31"/>
      <c r="R15" s="70"/>
      <c r="T15" s="98" t="s">
        <v>40</v>
      </c>
      <c r="U15" s="99"/>
    </row>
    <row r="16" spans="2:21">
      <c r="B16" s="7">
        <v>41747</v>
      </c>
      <c r="D16" s="14" t="s">
        <v>3</v>
      </c>
      <c r="E16" s="58" t="s">
        <v>4</v>
      </c>
      <c r="G16" s="46"/>
      <c r="P16" s="32"/>
      <c r="Q16" s="31"/>
      <c r="R16" s="70"/>
      <c r="T16" s="100"/>
      <c r="U16" s="101"/>
    </row>
    <row r="17" spans="2:21">
      <c r="B17" s="7">
        <v>41748</v>
      </c>
      <c r="D17" s="20">
        <v>0</v>
      </c>
      <c r="E17" s="59" t="s">
        <v>47</v>
      </c>
      <c r="G17" s="46"/>
      <c r="P17" s="32"/>
      <c r="Q17" s="31"/>
      <c r="R17" s="70"/>
      <c r="T17" s="86" t="s">
        <v>62</v>
      </c>
      <c r="U17" s="87"/>
    </row>
    <row r="18" spans="2:21">
      <c r="B18" s="7">
        <v>41749</v>
      </c>
      <c r="D18" s="20">
        <v>1</v>
      </c>
      <c r="E18" s="60" t="s">
        <v>7</v>
      </c>
      <c r="G18" s="46"/>
      <c r="P18" s="32"/>
      <c r="Q18" s="31"/>
      <c r="R18" s="70"/>
      <c r="T18" s="86"/>
      <c r="U18" s="87"/>
    </row>
    <row r="19" spans="2:21" ht="15.75" thickBot="1">
      <c r="B19" s="7">
        <v>41750</v>
      </c>
      <c r="D19" s="20">
        <f>D18+1</f>
        <v>2</v>
      </c>
      <c r="E19" s="60" t="s">
        <v>6</v>
      </c>
      <c r="G19" s="46"/>
      <c r="P19" s="32"/>
      <c r="Q19" s="31"/>
      <c r="R19" s="70"/>
      <c r="T19" s="88"/>
      <c r="U19" s="89"/>
    </row>
    <row r="20" spans="2:21">
      <c r="B20" s="7"/>
      <c r="D20" s="20">
        <f t="shared" ref="D20:D32" si="0">D19+1</f>
        <v>3</v>
      </c>
      <c r="E20" s="60" t="s">
        <v>8</v>
      </c>
      <c r="G20" s="46"/>
      <c r="P20" s="32"/>
      <c r="Q20" s="31"/>
      <c r="R20" s="31"/>
    </row>
    <row r="21" spans="2:21">
      <c r="B21" s="7"/>
      <c r="D21" s="20">
        <f t="shared" si="0"/>
        <v>4</v>
      </c>
      <c r="E21" s="60" t="s">
        <v>9</v>
      </c>
      <c r="G21" s="46"/>
      <c r="P21" s="31"/>
      <c r="Q21" s="31"/>
      <c r="R21" s="32"/>
    </row>
    <row r="22" spans="2:21">
      <c r="B22" s="7"/>
      <c r="D22" s="20">
        <f t="shared" si="0"/>
        <v>5</v>
      </c>
      <c r="E22" s="60" t="s">
        <v>10</v>
      </c>
      <c r="G22" s="47"/>
      <c r="P22" s="31"/>
      <c r="Q22" s="31"/>
      <c r="R22" s="32"/>
    </row>
    <row r="23" spans="2:21">
      <c r="B23" s="7"/>
      <c r="D23" s="20">
        <f t="shared" si="0"/>
        <v>6</v>
      </c>
      <c r="E23" s="60" t="s">
        <v>11</v>
      </c>
      <c r="P23" s="31"/>
      <c r="Q23" s="31"/>
      <c r="R23" s="32"/>
    </row>
    <row r="24" spans="2:21">
      <c r="B24" s="7"/>
      <c r="D24" s="20">
        <f t="shared" si="0"/>
        <v>7</v>
      </c>
      <c r="E24" s="60" t="s">
        <v>8</v>
      </c>
    </row>
    <row r="25" spans="2:21">
      <c r="B25" s="7"/>
      <c r="D25" s="20">
        <f t="shared" si="0"/>
        <v>8</v>
      </c>
      <c r="E25" s="61" t="s">
        <v>16</v>
      </c>
    </row>
    <row r="26" spans="2:21">
      <c r="B26" s="7"/>
      <c r="D26" s="20">
        <f t="shared" si="0"/>
        <v>9</v>
      </c>
      <c r="E26" s="62" t="s">
        <v>48</v>
      </c>
    </row>
    <row r="27" spans="2:21">
      <c r="B27" s="7"/>
      <c r="D27" s="20">
        <f t="shared" si="0"/>
        <v>10</v>
      </c>
      <c r="E27" s="62" t="s">
        <v>49</v>
      </c>
    </row>
    <row r="28" spans="2:21">
      <c r="B28" s="7"/>
      <c r="D28" s="20">
        <f t="shared" si="0"/>
        <v>11</v>
      </c>
      <c r="E28" s="62" t="s">
        <v>50</v>
      </c>
    </row>
    <row r="29" spans="2:21">
      <c r="B29" s="7"/>
      <c r="D29" s="20">
        <f t="shared" si="0"/>
        <v>12</v>
      </c>
      <c r="E29" s="62" t="s">
        <v>51</v>
      </c>
    </row>
    <row r="30" spans="2:21">
      <c r="B30" s="7"/>
      <c r="D30" s="20">
        <f t="shared" si="0"/>
        <v>13</v>
      </c>
      <c r="E30" s="62" t="s">
        <v>52</v>
      </c>
    </row>
    <row r="31" spans="2:21">
      <c r="B31" s="7"/>
      <c r="D31" s="20">
        <f t="shared" si="0"/>
        <v>14</v>
      </c>
      <c r="E31" s="62" t="s">
        <v>53</v>
      </c>
    </row>
    <row r="32" spans="2:21" ht="15.75" thickBot="1">
      <c r="B32" s="7"/>
      <c r="D32" s="24">
        <f t="shared" si="0"/>
        <v>15</v>
      </c>
      <c r="E32" s="63" t="s">
        <v>54</v>
      </c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 ht="15.75" thickBot="1">
      <c r="B106" s="8"/>
    </row>
  </sheetData>
  <sheetProtection password="C836" sheet="1" objects="1" scenarios="1" formatColumns="0" formatRows="0"/>
  <mergeCells count="15">
    <mergeCell ref="D15:E15"/>
    <mergeCell ref="G10:N10"/>
    <mergeCell ref="G3:N3"/>
    <mergeCell ref="P3:R3"/>
    <mergeCell ref="T3:U3"/>
    <mergeCell ref="T5:T6"/>
    <mergeCell ref="T7:T8"/>
    <mergeCell ref="U7:U8"/>
    <mergeCell ref="T17:U19"/>
    <mergeCell ref="T14:U14"/>
    <mergeCell ref="T15:U16"/>
    <mergeCell ref="T9:T10"/>
    <mergeCell ref="U9:U10"/>
    <mergeCell ref="T11:T12"/>
    <mergeCell ref="U11:U1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26" sqref="D2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2013-08-24T22:40:01Z</dcterms:modified>
</cp:coreProperties>
</file>