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5" windowWidth="20115" windowHeight="7995"/>
  </bookViews>
  <sheets>
    <sheet name="Sheet1" sheetId="1" r:id="rId1"/>
    <sheet name="Sheet2" sheetId="3" r:id="rId2"/>
    <sheet name="Sheet3" sheetId="4" r:id="rId3"/>
  </sheets>
  <calcPr calcId="125725"/>
</workbook>
</file>

<file path=xl/calcChain.xml><?xml version="1.0" encoding="utf-8"?>
<calcChain xmlns="http://schemas.openxmlformats.org/spreadsheetml/2006/main">
  <c r="R10" i="3"/>
  <c r="N19" l="1"/>
  <c r="S19" s="1"/>
  <c r="N17"/>
  <c r="Q10" s="1"/>
  <c r="B13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S10"/>
  <c r="S10" i="1"/>
  <c r="S12" i="3" l="1"/>
  <c r="S14"/>
  <c r="Q19"/>
  <c r="R19" s="1"/>
  <c r="S15"/>
  <c r="Q17"/>
  <c r="R17" s="1"/>
  <c r="S18"/>
  <c r="S13"/>
  <c r="S16"/>
  <c r="S17"/>
  <c r="Q12"/>
  <c r="R12" s="1"/>
  <c r="Q14"/>
  <c r="R14" s="1"/>
  <c r="Q16"/>
  <c r="R16" s="1"/>
  <c r="Q15"/>
  <c r="R15" s="1"/>
  <c r="Q13"/>
  <c r="R13" s="1"/>
  <c r="Q18"/>
  <c r="R18" s="1"/>
  <c r="P10"/>
  <c r="N17" i="1" l="1"/>
  <c r="Q10" s="1"/>
  <c r="B13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N19"/>
  <c r="R10" s="1"/>
  <c r="Q18" l="1"/>
  <c r="R18" s="1"/>
  <c r="Q13"/>
  <c r="R13" s="1"/>
  <c r="Q16"/>
  <c r="R16" s="1"/>
  <c r="Q15"/>
  <c r="R15" s="1"/>
  <c r="P10"/>
  <c r="S18"/>
  <c r="S13"/>
  <c r="Q19"/>
  <c r="R19" s="1"/>
  <c r="S15"/>
  <c r="S12"/>
  <c r="Q12"/>
  <c r="R12" s="1"/>
  <c r="S16"/>
  <c r="S14"/>
  <c r="Q14"/>
  <c r="R14" s="1"/>
  <c r="S19"/>
  <c r="S17"/>
  <c r="Q17"/>
  <c r="R17" s="1"/>
</calcChain>
</file>

<file path=xl/sharedStrings.xml><?xml version="1.0" encoding="utf-8"?>
<sst xmlns="http://schemas.openxmlformats.org/spreadsheetml/2006/main" count="226" uniqueCount="81">
  <si>
    <t>Holidays</t>
  </si>
  <si>
    <t>Block</t>
  </si>
  <si>
    <t>Period</t>
  </si>
  <si>
    <t>Class Name</t>
  </si>
  <si>
    <t>Name</t>
  </si>
  <si>
    <t>Math</t>
  </si>
  <si>
    <t>History</t>
  </si>
  <si>
    <t>Physics</t>
  </si>
  <si>
    <t>Bible</t>
  </si>
  <si>
    <t>English</t>
  </si>
  <si>
    <t>Orchestra</t>
  </si>
  <si>
    <t>Past A Day (PAD)</t>
  </si>
  <si>
    <t>Days Since PAD</t>
  </si>
  <si>
    <t>B</t>
  </si>
  <si>
    <t>F</t>
  </si>
  <si>
    <t>Free</t>
  </si>
  <si>
    <t>A</t>
  </si>
  <si>
    <t>C</t>
  </si>
  <si>
    <t>D</t>
  </si>
  <si>
    <t>E</t>
  </si>
  <si>
    <t>G</t>
  </si>
  <si>
    <t>By: Joshua Wang</t>
  </si>
  <si>
    <t>Fig. 1</t>
  </si>
  <si>
    <t>Fig. 2</t>
  </si>
  <si>
    <t>Fig. 3</t>
  </si>
  <si>
    <t>Fig. 4</t>
  </si>
  <si>
    <t>Result</t>
  </si>
  <si>
    <t>Setup:</t>
  </si>
  <si>
    <t>Usage:</t>
  </si>
  <si>
    <t>3. Read the results off the "Result" chart</t>
  </si>
  <si>
    <t>Instructions</t>
  </si>
  <si>
    <t>Date to Schedule</t>
  </si>
  <si>
    <t>Disclaimers</t>
  </si>
  <si>
    <t>1. This calculates your schedule on the assumption that it is always rolling from the PAD, except for weekends and holidays.</t>
  </si>
  <si>
    <t>WMS Scheduler I</t>
  </si>
  <si>
    <t>WMS Scheduler II</t>
  </si>
  <si>
    <t>Day Number</t>
  </si>
  <si>
    <t>Office Hours</t>
  </si>
  <si>
    <t>Break</t>
  </si>
  <si>
    <t>Assembly</t>
  </si>
  <si>
    <t>ADV</t>
  </si>
  <si>
    <t>FAC PLC</t>
  </si>
  <si>
    <t>FAC MTGS</t>
  </si>
  <si>
    <t>ARTS/ADV</t>
  </si>
  <si>
    <t>Weekly Interjections</t>
  </si>
  <si>
    <t>S</t>
  </si>
  <si>
    <t>M</t>
  </si>
  <si>
    <t>Tu</t>
  </si>
  <si>
    <t>W</t>
  </si>
  <si>
    <t>Th</t>
  </si>
  <si>
    <t>2. All the break / holiday dates from the Calendar have been added, except for wms exam days. This Scheduler works only for Semester I. See "Sheet2" (below) for the Semester II Scheduler.</t>
  </si>
  <si>
    <t>2. All the break / holiday dates from the Calendar have been added, except for wms exam days. This Scheduler works only for Semester II. See "Sheet1" (below) for the Semester I Scheduler.</t>
  </si>
  <si>
    <t>Weekly Timings</t>
  </si>
  <si>
    <t>8:00-8:30</t>
  </si>
  <si>
    <t>7:45-8:30</t>
  </si>
  <si>
    <t>7:45-9:00</t>
  </si>
  <si>
    <t>9:40-9:55</t>
  </si>
  <si>
    <t>10:10-10:25</t>
  </si>
  <si>
    <t>9:40-10:25</t>
  </si>
  <si>
    <t>1:10-1:50</t>
  </si>
  <si>
    <t>1:40-1:50</t>
  </si>
  <si>
    <t>1:10-1:20</t>
  </si>
  <si>
    <t>3:00-3:30</t>
  </si>
  <si>
    <t>8:30-9:40</t>
  </si>
  <si>
    <t>9:00-10:10</t>
  </si>
  <si>
    <t>9:55-11:05</t>
  </si>
  <si>
    <t>10:25-11:35</t>
  </si>
  <si>
    <t>11:05-1:10</t>
  </si>
  <si>
    <t>11:35-1:40</t>
  </si>
  <si>
    <t>1:50-3:00</t>
  </si>
  <si>
    <t>1:20-2:30</t>
  </si>
  <si>
    <t>Time</t>
  </si>
  <si>
    <t>1. Fill out your course names in Fig. 1 (8 represents your Frees)</t>
  </si>
  <si>
    <r>
      <t xml:space="preserve">Edit ONLY The </t>
    </r>
    <r>
      <rPr>
        <sz val="11"/>
        <color rgb="FF00B050"/>
        <rFont val="Calibri"/>
        <family val="2"/>
        <scheme val="minor"/>
      </rPr>
      <t>Green</t>
    </r>
    <r>
      <rPr>
        <sz val="11"/>
        <color theme="1"/>
        <rFont val="Calibri"/>
        <family val="2"/>
        <scheme val="minor"/>
      </rPr>
      <t xml:space="preserve"> Areas NOT the </t>
    </r>
    <r>
      <rPr>
        <sz val="11"/>
        <color rgb="FFFF0000"/>
        <rFont val="Calibri"/>
        <family val="2"/>
        <scheme val="minor"/>
      </rPr>
      <t>Red</t>
    </r>
    <r>
      <rPr>
        <sz val="11"/>
        <color theme="1"/>
        <rFont val="Calibri"/>
        <family val="2"/>
        <scheme val="minor"/>
      </rPr>
      <t xml:space="preserve"> or</t>
    </r>
    <r>
      <rPr>
        <sz val="11"/>
        <color theme="3" tint="0.39997558519241921"/>
        <rFont val="Calibri"/>
        <family val="2"/>
        <scheme val="minor"/>
      </rPr>
      <t xml:space="preserve"> Blue</t>
    </r>
    <r>
      <rPr>
        <sz val="11"/>
        <color theme="1"/>
        <rFont val="Calibri"/>
        <family val="2"/>
        <scheme val="minor"/>
      </rPr>
      <t xml:space="preserve"> Areas</t>
    </r>
  </si>
  <si>
    <t>2. Fill out your rot. schedule in Fig. 2 (Using 8 as a Free period)</t>
  </si>
  <si>
    <t>1. Use the LATEST A day (before Date to Schedule) in Fig. 3</t>
  </si>
  <si>
    <t xml:space="preserve">4. Enter date of a Past A Day of Sem I in Fig. 3 (e.g 8/15/2013) </t>
  </si>
  <si>
    <t>3. Make sure all the holidays are correctly marked in Fig. 4</t>
  </si>
  <si>
    <t>2. Enter the date for the desired schedule in Fig. 3</t>
  </si>
  <si>
    <t xml:space="preserve">4. Enter date of a Past A Day of Sem II in Fig. 3 (e.g 1/6/2014) </t>
  </si>
  <si>
    <t>Weekend</t>
  </si>
</sst>
</file>

<file path=xl/styles.xml><?xml version="1.0" encoding="utf-8"?>
<styleSheet xmlns="http://schemas.openxmlformats.org/spreadsheetml/2006/main">
  <numFmts count="1">
    <numFmt numFmtId="164" formatCode="h:mm;@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4">
    <xf numFmtId="0" fontId="0" fillId="0" borderId="0" xfId="0"/>
    <xf numFmtId="0" fontId="0" fillId="3" borderId="29" xfId="0" applyFill="1" applyBorder="1" applyAlignment="1" applyProtection="1">
      <alignment horizontal="center"/>
      <protection locked="0"/>
    </xf>
    <xf numFmtId="14" fontId="0" fillId="3" borderId="23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9" xfId="0" applyFill="1" applyBorder="1" applyAlignment="1" applyProtection="1">
      <alignment horizontal="center"/>
      <protection locked="0"/>
    </xf>
    <xf numFmtId="0" fontId="0" fillId="3" borderId="7" xfId="0" applyFill="1" applyBorder="1" applyAlignment="1" applyProtection="1">
      <alignment horizontal="center"/>
      <protection locked="0"/>
    </xf>
    <xf numFmtId="0" fontId="0" fillId="3" borderId="8" xfId="0" applyFill="1" applyBorder="1" applyAlignment="1" applyProtection="1">
      <alignment horizontal="center"/>
      <protection locked="0"/>
    </xf>
    <xf numFmtId="14" fontId="0" fillId="3" borderId="29" xfId="0" applyNumberFormat="1" applyFill="1" applyBorder="1" applyAlignment="1" applyProtection="1">
      <alignment horizontal="center"/>
      <protection locked="0"/>
    </xf>
    <xf numFmtId="0" fontId="0" fillId="3" borderId="5" xfId="0" applyFill="1" applyBorder="1" applyAlignment="1" applyProtection="1">
      <alignment horizontal="center"/>
      <protection locked="0"/>
    </xf>
    <xf numFmtId="0" fontId="0" fillId="0" borderId="0" xfId="0" applyProtection="1"/>
    <xf numFmtId="0" fontId="1" fillId="5" borderId="2" xfId="0" applyFont="1" applyFill="1" applyBorder="1" applyAlignment="1" applyProtection="1">
      <alignment horizontal="center"/>
    </xf>
    <xf numFmtId="0" fontId="1" fillId="5" borderId="12" xfId="0" applyFont="1" applyFill="1" applyBorder="1" applyAlignment="1" applyProtection="1">
      <alignment horizontal="center"/>
    </xf>
    <xf numFmtId="0" fontId="1" fillId="2" borderId="12" xfId="0" applyFont="1" applyFill="1" applyBorder="1" applyAlignment="1" applyProtection="1">
      <alignment horizontal="center"/>
    </xf>
    <xf numFmtId="0" fontId="1" fillId="2" borderId="16" xfId="0" applyFont="1" applyFill="1" applyBorder="1" applyAlignment="1" applyProtection="1">
      <alignment horizontal="center"/>
    </xf>
    <xf numFmtId="0" fontId="1" fillId="2" borderId="3" xfId="0" applyFont="1" applyFill="1" applyBorder="1" applyAlignment="1" applyProtection="1">
      <alignment horizontal="center"/>
    </xf>
    <xf numFmtId="0" fontId="1" fillId="2" borderId="22" xfId="0" applyFont="1" applyFill="1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0" fillId="2" borderId="18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right"/>
    </xf>
    <xf numFmtId="0" fontId="0" fillId="2" borderId="6" xfId="0" applyFill="1" applyBorder="1" applyAlignment="1" applyProtection="1">
      <alignment horizontal="center"/>
    </xf>
    <xf numFmtId="2" fontId="0" fillId="2" borderId="13" xfId="0" applyNumberFormat="1" applyFill="1" applyBorder="1" applyAlignment="1" applyProtection="1">
      <alignment horizontal="center"/>
    </xf>
    <xf numFmtId="0" fontId="0" fillId="4" borderId="18" xfId="0" applyFill="1" applyBorder="1" applyAlignment="1" applyProtection="1">
      <alignment horizontal="center"/>
    </xf>
    <xf numFmtId="0" fontId="0" fillId="4" borderId="6" xfId="0" applyFill="1" applyBorder="1" applyAlignment="1" applyProtection="1">
      <alignment horizontal="center"/>
    </xf>
    <xf numFmtId="0" fontId="1" fillId="2" borderId="21" xfId="0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0" xfId="0" applyFill="1" applyBorder="1" applyProtection="1"/>
    <xf numFmtId="14" fontId="1" fillId="2" borderId="12" xfId="0" applyNumberFormat="1" applyFont="1" applyFill="1" applyBorder="1" applyAlignment="1" applyProtection="1"/>
    <xf numFmtId="0" fontId="1" fillId="2" borderId="24" xfId="0" applyFont="1" applyFill="1" applyBorder="1" applyAlignment="1" applyProtection="1"/>
    <xf numFmtId="0" fontId="0" fillId="3" borderId="31" xfId="0" applyFill="1" applyBorder="1" applyProtection="1"/>
    <xf numFmtId="14" fontId="0" fillId="3" borderId="31" xfId="0" applyNumberFormat="1" applyFill="1" applyBorder="1" applyAlignment="1" applyProtection="1">
      <alignment horizontal="left" vertical="center"/>
      <protection locked="0"/>
    </xf>
    <xf numFmtId="14" fontId="0" fillId="3" borderId="23" xfId="0" applyNumberFormat="1" applyFill="1" applyBorder="1" applyAlignment="1" applyProtection="1">
      <alignment vertical="center"/>
    </xf>
    <xf numFmtId="0" fontId="0" fillId="0" borderId="0" xfId="0" applyFill="1" applyBorder="1" applyAlignment="1" applyProtection="1">
      <protection locked="0"/>
    </xf>
    <xf numFmtId="0" fontId="1" fillId="2" borderId="17" xfId="0" applyFont="1" applyFill="1" applyBorder="1" applyAlignment="1" applyProtection="1">
      <alignment horizontal="center"/>
    </xf>
    <xf numFmtId="0" fontId="0" fillId="2" borderId="8" xfId="0" applyFill="1" applyBorder="1" applyAlignment="1" applyProtection="1">
      <alignment horizontal="center"/>
    </xf>
    <xf numFmtId="0" fontId="1" fillId="2" borderId="24" xfId="0" applyFont="1" applyFill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1" fillId="2" borderId="17" xfId="0" applyFont="1" applyFill="1" applyBorder="1" applyAlignment="1" applyProtection="1"/>
    <xf numFmtId="0" fontId="0" fillId="2" borderId="19" xfId="0" applyFill="1" applyBorder="1" applyAlignment="1" applyProtection="1">
      <alignment horizontal="left"/>
    </xf>
    <xf numFmtId="0" fontId="0" fillId="3" borderId="19" xfId="0" applyFill="1" applyBorder="1" applyAlignment="1" applyProtection="1">
      <protection locked="0"/>
    </xf>
    <xf numFmtId="0" fontId="0" fillId="2" borderId="20" xfId="0" applyFill="1" applyBorder="1" applyAlignment="1" applyProtection="1"/>
    <xf numFmtId="0" fontId="0" fillId="2" borderId="19" xfId="0" applyFill="1" applyBorder="1" applyAlignment="1" applyProtection="1"/>
    <xf numFmtId="0" fontId="0" fillId="2" borderId="8" xfId="0" applyFill="1" applyBorder="1" applyAlignment="1" applyProtection="1"/>
    <xf numFmtId="0" fontId="1" fillId="2" borderId="25" xfId="0" applyFont="1" applyFill="1" applyBorder="1" applyAlignment="1" applyProtection="1">
      <alignment horizontal="center"/>
    </xf>
    <xf numFmtId="0" fontId="0" fillId="2" borderId="18" xfId="0" applyFont="1" applyFill="1" applyBorder="1" applyAlignment="1" applyProtection="1">
      <alignment horizontal="center"/>
    </xf>
    <xf numFmtId="0" fontId="0" fillId="2" borderId="1" xfId="0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0" fontId="0" fillId="2" borderId="6" xfId="0" applyFont="1" applyFill="1" applyBorder="1" applyAlignment="1" applyProtection="1">
      <alignment horizontal="center"/>
    </xf>
    <xf numFmtId="0" fontId="0" fillId="2" borderId="7" xfId="0" applyFill="1" applyBorder="1" applyAlignment="1" applyProtection="1">
      <alignment horizontal="center"/>
    </xf>
    <xf numFmtId="0" fontId="0" fillId="6" borderId="26" xfId="0" applyFont="1" applyFill="1" applyBorder="1" applyAlignment="1" applyProtection="1">
      <alignment horizontal="center"/>
    </xf>
    <xf numFmtId="0" fontId="1" fillId="6" borderId="16" xfId="0" applyFont="1" applyFill="1" applyBorder="1" applyAlignment="1" applyProtection="1">
      <alignment horizontal="center"/>
    </xf>
    <xf numFmtId="0" fontId="1" fillId="6" borderId="25" xfId="0" applyFont="1" applyFill="1" applyBorder="1" applyAlignment="1" applyProtection="1">
      <alignment horizontal="center"/>
    </xf>
    <xf numFmtId="1" fontId="6" fillId="4" borderId="1" xfId="0" applyNumberFormat="1" applyFont="1" applyFill="1" applyBorder="1" applyAlignment="1" applyProtection="1">
      <alignment horizontal="center"/>
    </xf>
    <xf numFmtId="0" fontId="0" fillId="6" borderId="18" xfId="0" applyFill="1" applyBorder="1" applyAlignment="1" applyProtection="1">
      <alignment horizontal="center"/>
    </xf>
    <xf numFmtId="0" fontId="0" fillId="6" borderId="1" xfId="0" applyFill="1" applyBorder="1" applyAlignment="1" applyProtection="1">
      <alignment horizontal="center"/>
    </xf>
    <xf numFmtId="0" fontId="6" fillId="4" borderId="1" xfId="0" applyFont="1" applyFill="1" applyBorder="1" applyAlignment="1" applyProtection="1">
      <alignment horizontal="center"/>
    </xf>
    <xf numFmtId="0" fontId="6" fillId="4" borderId="7" xfId="0" applyFont="1" applyFill="1" applyBorder="1" applyAlignment="1" applyProtection="1">
      <alignment horizontal="center"/>
    </xf>
    <xf numFmtId="164" fontId="0" fillId="2" borderId="1" xfId="0" applyNumberFormat="1" applyFill="1" applyBorder="1" applyAlignment="1" applyProtection="1">
      <alignment horizontal="center"/>
    </xf>
    <xf numFmtId="164" fontId="0" fillId="2" borderId="19" xfId="0" applyNumberFormat="1" applyFill="1" applyBorder="1" applyAlignment="1" applyProtection="1">
      <alignment horizontal="center"/>
    </xf>
    <xf numFmtId="164" fontId="0" fillId="2" borderId="7" xfId="0" applyNumberFormat="1" applyFill="1" applyBorder="1" applyAlignment="1" applyProtection="1">
      <alignment horizontal="center"/>
    </xf>
    <xf numFmtId="164" fontId="0" fillId="2" borderId="8" xfId="0" applyNumberFormat="1" applyFill="1" applyBorder="1" applyAlignment="1" applyProtection="1">
      <alignment horizontal="center"/>
    </xf>
    <xf numFmtId="2" fontId="0" fillId="6" borderId="27" xfId="0" applyNumberFormat="1" applyFont="1" applyFill="1" applyBorder="1" applyAlignment="1" applyProtection="1">
      <alignment horizontal="center"/>
    </xf>
    <xf numFmtId="0" fontId="0" fillId="6" borderId="0" xfId="0" applyFont="1" applyFill="1" applyAlignment="1" applyProtection="1">
      <alignment horizontal="center"/>
    </xf>
    <xf numFmtId="14" fontId="0" fillId="6" borderId="28" xfId="0" applyNumberFormat="1" applyFont="1" applyFill="1" applyBorder="1" applyAlignment="1" applyProtection="1">
      <alignment horizontal="center"/>
    </xf>
    <xf numFmtId="0" fontId="1" fillId="6" borderId="25" xfId="0" applyFont="1" applyFill="1" applyBorder="1" applyProtection="1"/>
    <xf numFmtId="0" fontId="1" fillId="6" borderId="17" xfId="0" applyFont="1" applyFill="1" applyBorder="1" applyAlignment="1" applyProtection="1">
      <alignment horizontal="center"/>
    </xf>
    <xf numFmtId="0" fontId="0" fillId="4" borderId="1" xfId="0" applyFill="1" applyBorder="1" applyProtection="1"/>
    <xf numFmtId="164" fontId="0" fillId="4" borderId="19" xfId="0" applyNumberFormat="1" applyFill="1" applyBorder="1" applyAlignment="1" applyProtection="1">
      <alignment horizontal="center"/>
    </xf>
    <xf numFmtId="0" fontId="0" fillId="6" borderId="1" xfId="0" applyFill="1" applyBorder="1" applyProtection="1"/>
    <xf numFmtId="164" fontId="0" fillId="6" borderId="19" xfId="0" applyNumberFormat="1" applyFill="1" applyBorder="1" applyAlignment="1" applyProtection="1">
      <alignment horizontal="center"/>
    </xf>
    <xf numFmtId="0" fontId="0" fillId="4" borderId="7" xfId="0" applyFill="1" applyBorder="1" applyProtection="1"/>
    <xf numFmtId="164" fontId="0" fillId="4" borderId="8" xfId="0" applyNumberFormat="1" applyFill="1" applyBorder="1" applyAlignment="1" applyProtection="1">
      <alignment horizontal="center"/>
    </xf>
    <xf numFmtId="0" fontId="2" fillId="0" borderId="43" xfId="0" applyFont="1" applyBorder="1" applyAlignment="1" applyProtection="1">
      <alignment horizontal="center"/>
    </xf>
    <xf numFmtId="0" fontId="2" fillId="0" borderId="37" xfId="0" applyFont="1" applyBorder="1" applyAlignment="1" applyProtection="1">
      <alignment horizontal="center"/>
    </xf>
    <xf numFmtId="0" fontId="2" fillId="0" borderId="44" xfId="0" applyFont="1" applyBorder="1" applyAlignment="1" applyProtection="1">
      <alignment horizontal="center"/>
    </xf>
    <xf numFmtId="0" fontId="2" fillId="0" borderId="45" xfId="0" applyFont="1" applyBorder="1" applyAlignment="1" applyProtection="1">
      <alignment horizontal="center"/>
    </xf>
    <xf numFmtId="0" fontId="1" fillId="5" borderId="14" xfId="0" applyFont="1" applyFill="1" applyBorder="1" applyAlignment="1" applyProtection="1">
      <alignment horizontal="center"/>
    </xf>
    <xf numFmtId="0" fontId="1" fillId="5" borderId="4" xfId="0" applyFont="1" applyFill="1" applyBorder="1" applyAlignment="1" applyProtection="1">
      <alignment horizontal="center"/>
    </xf>
    <xf numFmtId="0" fontId="1" fillId="5" borderId="15" xfId="0" applyFont="1" applyFill="1" applyBorder="1" applyAlignment="1" applyProtection="1">
      <alignment horizontal="center"/>
    </xf>
    <xf numFmtId="0" fontId="0" fillId="4" borderId="16" xfId="0" applyFill="1" applyBorder="1" applyAlignment="1" applyProtection="1">
      <alignment horizontal="center" wrapText="1"/>
    </xf>
    <xf numFmtId="0" fontId="0" fillId="4" borderId="25" xfId="0" applyFill="1" applyBorder="1" applyAlignment="1" applyProtection="1">
      <alignment horizontal="center" wrapText="1"/>
    </xf>
    <xf numFmtId="0" fontId="0" fillId="4" borderId="17" xfId="0" applyFill="1" applyBorder="1" applyAlignment="1" applyProtection="1">
      <alignment horizontal="center" wrapText="1"/>
    </xf>
    <xf numFmtId="0" fontId="0" fillId="4" borderId="18" xfId="0" applyFill="1" applyBorder="1" applyAlignment="1" applyProtection="1">
      <alignment horizontal="center" wrapText="1"/>
    </xf>
    <xf numFmtId="0" fontId="0" fillId="4" borderId="1" xfId="0" applyFill="1" applyBorder="1" applyAlignment="1" applyProtection="1">
      <alignment horizontal="center" wrapText="1"/>
    </xf>
    <xf numFmtId="0" fontId="0" fillId="4" borderId="19" xfId="0" applyFill="1" applyBorder="1" applyAlignment="1" applyProtection="1">
      <alignment horizontal="center" wrapText="1"/>
    </xf>
    <xf numFmtId="0" fontId="0" fillId="4" borderId="6" xfId="0" applyFill="1" applyBorder="1" applyAlignment="1" applyProtection="1">
      <alignment horizontal="center" wrapText="1"/>
    </xf>
    <xf numFmtId="0" fontId="0" fillId="4" borderId="7" xfId="0" applyFill="1" applyBorder="1" applyAlignment="1" applyProtection="1">
      <alignment horizontal="center" wrapText="1"/>
    </xf>
    <xf numFmtId="0" fontId="0" fillId="4" borderId="8" xfId="0" applyFill="1" applyBorder="1" applyAlignment="1" applyProtection="1">
      <alignment horizontal="center" wrapText="1"/>
    </xf>
    <xf numFmtId="0" fontId="1" fillId="5" borderId="9" xfId="0" applyFont="1" applyFill="1" applyBorder="1" applyAlignment="1" applyProtection="1">
      <alignment horizontal="center"/>
    </xf>
    <xf numFmtId="0" fontId="1" fillId="5" borderId="34" xfId="0" applyFont="1" applyFill="1" applyBorder="1" applyAlignment="1" applyProtection="1">
      <alignment horizontal="center"/>
    </xf>
    <xf numFmtId="0" fontId="1" fillId="5" borderId="10" xfId="0" applyFont="1" applyFill="1" applyBorder="1" applyAlignment="1" applyProtection="1">
      <alignment horizontal="center"/>
    </xf>
    <xf numFmtId="0" fontId="1" fillId="4" borderId="35" xfId="0" applyFont="1" applyFill="1" applyBorder="1" applyAlignment="1" applyProtection="1">
      <alignment horizontal="center"/>
    </xf>
    <xf numFmtId="0" fontId="0" fillId="0" borderId="36" xfId="0" applyBorder="1" applyProtection="1"/>
    <xf numFmtId="0" fontId="0" fillId="0" borderId="37" xfId="0" applyBorder="1" applyProtection="1"/>
    <xf numFmtId="0" fontId="0" fillId="4" borderId="38" xfId="0" applyFill="1" applyBorder="1" applyAlignment="1" applyProtection="1">
      <alignment horizontal="center" wrapText="1"/>
    </xf>
    <xf numFmtId="0" fontId="0" fillId="0" borderId="39" xfId="0" applyBorder="1" applyProtection="1"/>
    <xf numFmtId="0" fontId="0" fillId="0" borderId="32" xfId="0" applyBorder="1" applyProtection="1"/>
    <xf numFmtId="0" fontId="0" fillId="0" borderId="40" xfId="0" applyBorder="1" applyProtection="1"/>
    <xf numFmtId="0" fontId="0" fillId="0" borderId="41" xfId="0" applyBorder="1" applyProtection="1"/>
    <xf numFmtId="0" fontId="0" fillId="0" borderId="30" xfId="0" applyBorder="1" applyProtection="1"/>
    <xf numFmtId="0" fontId="0" fillId="0" borderId="42" xfId="0" applyBorder="1" applyProtection="1"/>
    <xf numFmtId="0" fontId="0" fillId="0" borderId="33" xfId="0" applyBorder="1" applyProtection="1"/>
    <xf numFmtId="0" fontId="0" fillId="0" borderId="11" xfId="0" applyBorder="1" applyProtection="1"/>
    <xf numFmtId="0" fontId="1" fillId="4" borderId="16" xfId="0" applyFont="1" applyFill="1" applyBorder="1" applyAlignment="1" applyProtection="1">
      <alignment horizontal="center"/>
    </xf>
    <xf numFmtId="0" fontId="1" fillId="4" borderId="25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S124"/>
  <sheetViews>
    <sheetView tabSelected="1" zoomScaleNormal="100" workbookViewId="0">
      <selection activeCell="N14" sqref="N14"/>
    </sheetView>
  </sheetViews>
  <sheetFormatPr defaultRowHeight="15"/>
  <cols>
    <col min="1" max="1" width="5" style="9" customWidth="1"/>
    <col min="2" max="2" width="6.85546875" style="9" customWidth="1"/>
    <col min="3" max="3" width="14" style="9" customWidth="1"/>
    <col min="4" max="4" width="2.5703125" style="9" customWidth="1"/>
    <col min="5" max="5" width="8.85546875" style="25" customWidth="1"/>
    <col min="6" max="12" width="10.7109375" style="9" customWidth="1"/>
    <col min="13" max="13" width="2" style="9" customWidth="1"/>
    <col min="14" max="14" width="20.28515625" style="9" customWidth="1"/>
    <col min="15" max="15" width="1.85546875" style="9" customWidth="1"/>
    <col min="16" max="16" width="6.85546875" style="9" customWidth="1"/>
    <col min="17" max="17" width="7.7109375" style="9" customWidth="1"/>
    <col min="18" max="18" width="15.140625" style="9" customWidth="1"/>
    <col min="19" max="19" width="12" style="9" customWidth="1"/>
    <col min="20" max="20" width="9.140625" style="9" customWidth="1"/>
    <col min="21" max="21" width="13.140625" style="9" customWidth="1"/>
    <col min="22" max="22" width="13.42578125" style="9" customWidth="1"/>
    <col min="23" max="23" width="3.5703125" style="9" customWidth="1"/>
    <col min="24" max="24" width="31.7109375" style="9" customWidth="1"/>
    <col min="25" max="25" width="28" style="9" customWidth="1"/>
    <col min="26" max="16384" width="9.140625" style="9"/>
  </cols>
  <sheetData>
    <row r="1" spans="2:19" ht="15.75" thickBot="1"/>
    <row r="2" spans="2:19" ht="15.75" thickBot="1">
      <c r="B2" s="71" t="s">
        <v>34</v>
      </c>
      <c r="C2" s="72"/>
      <c r="E2" s="75" t="s">
        <v>30</v>
      </c>
      <c r="F2" s="76"/>
      <c r="G2" s="76"/>
      <c r="H2" s="76"/>
      <c r="I2" s="76"/>
      <c r="J2" s="77"/>
      <c r="L2" s="87" t="s">
        <v>32</v>
      </c>
      <c r="M2" s="88"/>
      <c r="N2" s="88"/>
      <c r="O2" s="88"/>
      <c r="P2" s="88"/>
      <c r="Q2" s="88"/>
      <c r="R2" s="89"/>
    </row>
    <row r="3" spans="2:19" ht="15.75" thickBot="1">
      <c r="B3" s="73" t="s">
        <v>21</v>
      </c>
      <c r="C3" s="74"/>
      <c r="E3" s="102" t="s">
        <v>27</v>
      </c>
      <c r="F3" s="103"/>
      <c r="G3" s="103"/>
      <c r="H3" s="90" t="s">
        <v>28</v>
      </c>
      <c r="I3" s="91"/>
      <c r="J3" s="92"/>
      <c r="L3" s="78" t="s">
        <v>33</v>
      </c>
      <c r="M3" s="79"/>
      <c r="N3" s="79"/>
      <c r="O3" s="79"/>
      <c r="P3" s="79"/>
      <c r="Q3" s="79"/>
      <c r="R3" s="80"/>
      <c r="S3" s="16"/>
    </row>
    <row r="4" spans="2:19" ht="15" customHeight="1">
      <c r="E4" s="81" t="s">
        <v>72</v>
      </c>
      <c r="F4" s="82"/>
      <c r="G4" s="82"/>
      <c r="H4" s="93" t="s">
        <v>73</v>
      </c>
      <c r="I4" s="94"/>
      <c r="J4" s="95"/>
      <c r="L4" s="81"/>
      <c r="M4" s="82"/>
      <c r="N4" s="82"/>
      <c r="O4" s="82"/>
      <c r="P4" s="82"/>
      <c r="Q4" s="82"/>
      <c r="R4" s="83"/>
      <c r="S4" s="18"/>
    </row>
    <row r="5" spans="2:19">
      <c r="E5" s="81"/>
      <c r="F5" s="82"/>
      <c r="G5" s="82"/>
      <c r="H5" s="96"/>
      <c r="I5" s="97"/>
      <c r="J5" s="98"/>
      <c r="L5" s="81" t="s">
        <v>50</v>
      </c>
      <c r="M5" s="82"/>
      <c r="N5" s="82"/>
      <c r="O5" s="82"/>
      <c r="P5" s="82"/>
      <c r="Q5" s="82"/>
      <c r="R5" s="83"/>
      <c r="S5" s="18"/>
    </row>
    <row r="6" spans="2:19" ht="15" customHeight="1">
      <c r="E6" s="81" t="s">
        <v>74</v>
      </c>
      <c r="F6" s="82"/>
      <c r="G6" s="82"/>
      <c r="H6" s="93" t="s">
        <v>75</v>
      </c>
      <c r="I6" s="94"/>
      <c r="J6" s="95"/>
      <c r="L6" s="81"/>
      <c r="M6" s="82"/>
      <c r="N6" s="82"/>
      <c r="O6" s="82"/>
      <c r="P6" s="82"/>
      <c r="Q6" s="82"/>
      <c r="R6" s="83"/>
      <c r="S6" s="18"/>
    </row>
    <row r="7" spans="2:19" ht="15.75" thickBot="1">
      <c r="E7" s="81"/>
      <c r="F7" s="82"/>
      <c r="G7" s="82"/>
      <c r="H7" s="96"/>
      <c r="I7" s="97"/>
      <c r="J7" s="98"/>
      <c r="L7" s="84"/>
      <c r="M7" s="85"/>
      <c r="N7" s="85"/>
      <c r="O7" s="85"/>
      <c r="P7" s="85"/>
      <c r="Q7" s="85"/>
      <c r="R7" s="86"/>
    </row>
    <row r="8" spans="2:19" ht="15.75" customHeight="1" thickBot="1">
      <c r="E8" s="81" t="s">
        <v>76</v>
      </c>
      <c r="F8" s="82"/>
      <c r="G8" s="82"/>
      <c r="H8" s="93" t="s">
        <v>78</v>
      </c>
      <c r="I8" s="94"/>
      <c r="J8" s="95"/>
    </row>
    <row r="9" spans="2:19" ht="15.75" thickBot="1">
      <c r="B9" s="75" t="s">
        <v>22</v>
      </c>
      <c r="C9" s="77"/>
      <c r="E9" s="81"/>
      <c r="F9" s="82"/>
      <c r="G9" s="82"/>
      <c r="H9" s="96"/>
      <c r="I9" s="97"/>
      <c r="J9" s="98"/>
      <c r="N9" s="11" t="s">
        <v>24</v>
      </c>
      <c r="P9" s="75" t="s">
        <v>26</v>
      </c>
      <c r="Q9" s="76"/>
      <c r="R9" s="76"/>
      <c r="S9" s="77"/>
    </row>
    <row r="10" spans="2:19" ht="15.75" customHeight="1" thickBot="1">
      <c r="B10" s="13" t="s">
        <v>2</v>
      </c>
      <c r="C10" s="36" t="s">
        <v>3</v>
      </c>
      <c r="E10" s="81" t="s">
        <v>77</v>
      </c>
      <c r="F10" s="82"/>
      <c r="G10" s="82"/>
      <c r="H10" s="93" t="s">
        <v>29</v>
      </c>
      <c r="I10" s="94"/>
      <c r="J10" s="95"/>
      <c r="N10" s="26" t="s">
        <v>11</v>
      </c>
      <c r="P10" s="48" t="str">
        <f>INDEX(F15:L15, 1, Q10)</f>
        <v>G</v>
      </c>
      <c r="Q10" s="60">
        <f>MOD(N17, 7)+1</f>
        <v>7</v>
      </c>
      <c r="R10" s="61" t="str">
        <f>CHOOSE(N19, "Sunday", "Monday", "Tuesday", "Wednesday", "Thursday", "Friday", "Saturday")</f>
        <v>Friday</v>
      </c>
      <c r="S10" s="62">
        <f>N14</f>
        <v>41509</v>
      </c>
    </row>
    <row r="11" spans="2:19" ht="15.75" thickBot="1">
      <c r="B11" s="17">
        <v>0</v>
      </c>
      <c r="C11" s="37" t="s">
        <v>80</v>
      </c>
      <c r="E11" s="84"/>
      <c r="F11" s="85"/>
      <c r="G11" s="85"/>
      <c r="H11" s="99"/>
      <c r="I11" s="100"/>
      <c r="J11" s="101"/>
      <c r="N11" s="2">
        <v>41501</v>
      </c>
      <c r="P11" s="49" t="s">
        <v>1</v>
      </c>
      <c r="Q11" s="50" t="s">
        <v>2</v>
      </c>
      <c r="R11" s="63" t="s">
        <v>4</v>
      </c>
      <c r="S11" s="64" t="s">
        <v>71</v>
      </c>
    </row>
    <row r="12" spans="2:19">
      <c r="B12" s="17">
        <v>1</v>
      </c>
      <c r="C12" s="38" t="s">
        <v>6</v>
      </c>
      <c r="E12" s="35"/>
      <c r="N12" s="27" t="s">
        <v>31</v>
      </c>
      <c r="P12" s="21">
        <v>0.5</v>
      </c>
      <c r="Q12" s="51">
        <f>INDEX(F23:L26, 1, N19)</f>
        <v>9</v>
      </c>
      <c r="R12" s="65" t="str">
        <f>INDEX(C11:C26, Q12+1, 1)</f>
        <v>Office Hours</v>
      </c>
      <c r="S12" s="66" t="str">
        <f>INDEX(F30:L33, 1, N19)</f>
        <v>8:00-8:30</v>
      </c>
    </row>
    <row r="13" spans="2:19" ht="15.75" thickBot="1">
      <c r="B13" s="17">
        <f>B12+1</f>
        <v>2</v>
      </c>
      <c r="C13" s="38" t="s">
        <v>5</v>
      </c>
      <c r="E13" s="9"/>
      <c r="N13" s="28"/>
      <c r="P13" s="52">
        <v>1</v>
      </c>
      <c r="Q13" s="53">
        <f>INDEX(F16:L19,P13, Q10)</f>
        <v>4</v>
      </c>
      <c r="R13" s="67" t="str">
        <f>INDEX(C12:C19, Q13, 1)</f>
        <v>Bible</v>
      </c>
      <c r="S13" s="68" t="str">
        <f>INDEX(F34:L37, P13, N19)</f>
        <v>8:30-9:40</v>
      </c>
    </row>
    <row r="14" spans="2:19" ht="15.75" customHeight="1" thickBot="1">
      <c r="B14" s="17">
        <f t="shared" ref="B14:B26" si="0">B13+1</f>
        <v>3</v>
      </c>
      <c r="C14" s="38" t="s">
        <v>7</v>
      </c>
      <c r="E14" s="75" t="s">
        <v>23</v>
      </c>
      <c r="F14" s="76"/>
      <c r="G14" s="76"/>
      <c r="H14" s="76"/>
      <c r="I14" s="76"/>
      <c r="J14" s="76"/>
      <c r="K14" s="76"/>
      <c r="L14" s="77"/>
      <c r="N14" s="29">
        <v>41509</v>
      </c>
      <c r="P14" s="21">
        <v>1.5</v>
      </c>
      <c r="Q14" s="54">
        <f>INDEX(F23:L26, 2, N19)</f>
        <v>12</v>
      </c>
      <c r="R14" s="65" t="str">
        <f>INDEX(C11:C26, Q14+1, 1)</f>
        <v>ADV</v>
      </c>
      <c r="S14" s="66" t="str">
        <f>INDEX(F30:L33, 2, N19)</f>
        <v>9:40-9:55</v>
      </c>
    </row>
    <row r="15" spans="2:19">
      <c r="B15" s="17">
        <f t="shared" si="0"/>
        <v>4</v>
      </c>
      <c r="C15" s="38" t="s">
        <v>8</v>
      </c>
      <c r="E15" s="23" t="s">
        <v>1</v>
      </c>
      <c r="F15" s="14" t="s">
        <v>16</v>
      </c>
      <c r="G15" s="14" t="s">
        <v>13</v>
      </c>
      <c r="H15" s="14" t="s">
        <v>17</v>
      </c>
      <c r="I15" s="14" t="s">
        <v>18</v>
      </c>
      <c r="J15" s="14" t="s">
        <v>19</v>
      </c>
      <c r="K15" s="14" t="s">
        <v>14</v>
      </c>
      <c r="L15" s="15" t="s">
        <v>20</v>
      </c>
      <c r="N15" s="30"/>
      <c r="P15" s="52">
        <v>2</v>
      </c>
      <c r="Q15" s="53">
        <f>INDEX(F16:L19,P15, Q10)</f>
        <v>5</v>
      </c>
      <c r="R15" s="67" t="str">
        <f>INDEX(C12:C19, Q15, 1)</f>
        <v>English</v>
      </c>
      <c r="S15" s="68" t="str">
        <f>INDEX(F34:L37, P15, N19)</f>
        <v>9:55-11:05</v>
      </c>
    </row>
    <row r="16" spans="2:19" ht="15" customHeight="1">
      <c r="B16" s="17">
        <f t="shared" si="0"/>
        <v>5</v>
      </c>
      <c r="C16" s="38" t="s">
        <v>9</v>
      </c>
      <c r="E16" s="17">
        <v>1</v>
      </c>
      <c r="F16" s="3">
        <v>1</v>
      </c>
      <c r="G16" s="3">
        <v>5</v>
      </c>
      <c r="H16" s="3">
        <v>2</v>
      </c>
      <c r="I16" s="3">
        <v>6</v>
      </c>
      <c r="J16" s="3">
        <v>3</v>
      </c>
      <c r="K16" s="3">
        <v>8</v>
      </c>
      <c r="L16" s="4">
        <v>4</v>
      </c>
      <c r="N16" s="27" t="s">
        <v>12</v>
      </c>
      <c r="P16" s="52">
        <v>3</v>
      </c>
      <c r="Q16" s="53">
        <f>INDEX(F16:L19,P17,Q10)</f>
        <v>6</v>
      </c>
      <c r="R16" s="67" t="str">
        <f>INDEX(C12:C19, Q16, 1)</f>
        <v>Orchestra</v>
      </c>
      <c r="S16" s="68" t="str">
        <f>INDEX(F34:L37, P16, N19)</f>
        <v>11:05-1:10</v>
      </c>
    </row>
    <row r="17" spans="2:19" ht="15.75" thickBot="1">
      <c r="B17" s="17">
        <f t="shared" si="0"/>
        <v>6</v>
      </c>
      <c r="C17" s="38" t="s">
        <v>10</v>
      </c>
      <c r="E17" s="17">
        <v>2</v>
      </c>
      <c r="F17" s="3">
        <v>2</v>
      </c>
      <c r="G17" s="3">
        <v>6</v>
      </c>
      <c r="H17" s="3">
        <v>3</v>
      </c>
      <c r="I17" s="3">
        <v>7</v>
      </c>
      <c r="J17" s="3">
        <v>4</v>
      </c>
      <c r="K17" s="3">
        <v>1</v>
      </c>
      <c r="L17" s="4">
        <v>5</v>
      </c>
      <c r="N17" s="20">
        <f>MAX(NETWORKDAYS(N11, N14,N23:N124)-1, 0)</f>
        <v>6</v>
      </c>
      <c r="P17" s="21">
        <v>3.5</v>
      </c>
      <c r="Q17" s="54">
        <f>INDEX(F23:L26, 3, N19)</f>
        <v>10</v>
      </c>
      <c r="R17" s="65" t="str">
        <f>INDEX(C11:C26, Q17+1, 1)</f>
        <v>Break</v>
      </c>
      <c r="S17" s="66" t="str">
        <f>INDEX(F30:L33, 3, N19)</f>
        <v>1:10-1:20</v>
      </c>
    </row>
    <row r="18" spans="2:19">
      <c r="B18" s="17">
        <f t="shared" si="0"/>
        <v>7</v>
      </c>
      <c r="C18" s="38" t="s">
        <v>7</v>
      </c>
      <c r="E18" s="17">
        <v>3</v>
      </c>
      <c r="F18" s="3">
        <v>3</v>
      </c>
      <c r="G18" s="3">
        <v>8</v>
      </c>
      <c r="H18" s="3">
        <v>4</v>
      </c>
      <c r="I18" s="3">
        <v>1</v>
      </c>
      <c r="J18" s="3">
        <v>5</v>
      </c>
      <c r="K18" s="3">
        <v>2</v>
      </c>
      <c r="L18" s="4">
        <v>6</v>
      </c>
      <c r="N18" s="34" t="s">
        <v>36</v>
      </c>
      <c r="P18" s="52">
        <v>4</v>
      </c>
      <c r="Q18" s="53">
        <f>INDEX(F16:L19,P18, Q10)</f>
        <v>7</v>
      </c>
      <c r="R18" s="67" t="str">
        <f>INDEX(C12:C19, Q18, 1)</f>
        <v>Physics</v>
      </c>
      <c r="S18" s="68" t="str">
        <f>INDEX(F34:L37, P18, N19)</f>
        <v>1:20-2:30</v>
      </c>
    </row>
    <row r="19" spans="2:19" ht="15.75" thickBot="1">
      <c r="B19" s="17">
        <f t="shared" si="0"/>
        <v>8</v>
      </c>
      <c r="C19" s="39" t="s">
        <v>15</v>
      </c>
      <c r="E19" s="19">
        <v>4</v>
      </c>
      <c r="F19" s="5">
        <v>4</v>
      </c>
      <c r="G19" s="5">
        <v>1</v>
      </c>
      <c r="H19" s="5">
        <v>5</v>
      </c>
      <c r="I19" s="5">
        <v>2</v>
      </c>
      <c r="J19" s="5">
        <v>6</v>
      </c>
      <c r="K19" s="5">
        <v>3</v>
      </c>
      <c r="L19" s="6">
        <v>7</v>
      </c>
      <c r="N19" s="20">
        <f>WEEKDAY(N14)</f>
        <v>6</v>
      </c>
      <c r="P19" s="22">
        <v>4.5</v>
      </c>
      <c r="Q19" s="55">
        <f>INDEX(F23:L26, 4, N19)</f>
        <v>0</v>
      </c>
      <c r="R19" s="69" t="str">
        <f>INDEX(C11:C26, Q19+1, 1)</f>
        <v>Weekend</v>
      </c>
      <c r="S19" s="70">
        <f>INDEX(F30:L33, 4, N19)</f>
        <v>0</v>
      </c>
    </row>
    <row r="20" spans="2:19" ht="15.75" thickBot="1">
      <c r="B20" s="17">
        <f t="shared" si="0"/>
        <v>9</v>
      </c>
      <c r="C20" s="40" t="s">
        <v>37</v>
      </c>
      <c r="G20" s="31"/>
      <c r="P20" s="24"/>
      <c r="R20" s="25"/>
    </row>
    <row r="21" spans="2:19" ht="15.75" thickBot="1">
      <c r="B21" s="17">
        <f t="shared" si="0"/>
        <v>10</v>
      </c>
      <c r="C21" s="40" t="s">
        <v>38</v>
      </c>
      <c r="E21" s="75" t="s">
        <v>44</v>
      </c>
      <c r="F21" s="76"/>
      <c r="G21" s="76"/>
      <c r="H21" s="76"/>
      <c r="I21" s="76"/>
      <c r="J21" s="76"/>
      <c r="K21" s="76"/>
      <c r="L21" s="77"/>
      <c r="N21" s="10" t="s">
        <v>25</v>
      </c>
      <c r="P21" s="24"/>
      <c r="R21" s="25"/>
    </row>
    <row r="22" spans="2:19">
      <c r="B22" s="17">
        <f t="shared" si="0"/>
        <v>11</v>
      </c>
      <c r="C22" s="40" t="s">
        <v>39</v>
      </c>
      <c r="E22" s="13" t="s">
        <v>1</v>
      </c>
      <c r="F22" s="42" t="s">
        <v>45</v>
      </c>
      <c r="G22" s="42" t="s">
        <v>46</v>
      </c>
      <c r="H22" s="42" t="s">
        <v>47</v>
      </c>
      <c r="I22" s="42" t="s">
        <v>48</v>
      </c>
      <c r="J22" s="42" t="s">
        <v>49</v>
      </c>
      <c r="K22" s="42" t="s">
        <v>14</v>
      </c>
      <c r="L22" s="32" t="s">
        <v>45</v>
      </c>
      <c r="N22" s="12" t="s">
        <v>0</v>
      </c>
    </row>
    <row r="23" spans="2:19">
      <c r="B23" s="17">
        <f t="shared" si="0"/>
        <v>12</v>
      </c>
      <c r="C23" s="40" t="s">
        <v>40</v>
      </c>
      <c r="E23" s="43">
        <v>0.5</v>
      </c>
      <c r="F23" s="44">
        <v>0</v>
      </c>
      <c r="G23" s="44">
        <v>9</v>
      </c>
      <c r="H23" s="44">
        <v>13</v>
      </c>
      <c r="I23" s="44">
        <v>14</v>
      </c>
      <c r="J23" s="44">
        <v>13</v>
      </c>
      <c r="K23" s="44">
        <v>9</v>
      </c>
      <c r="L23" s="45">
        <v>0</v>
      </c>
      <c r="N23" s="7">
        <v>41459</v>
      </c>
    </row>
    <row r="24" spans="2:19">
      <c r="B24" s="17">
        <f t="shared" si="0"/>
        <v>13</v>
      </c>
      <c r="C24" s="40" t="s">
        <v>41</v>
      </c>
      <c r="E24" s="43">
        <v>1.5</v>
      </c>
      <c r="F24" s="44">
        <v>0</v>
      </c>
      <c r="G24" s="44">
        <v>10</v>
      </c>
      <c r="H24" s="44">
        <v>10</v>
      </c>
      <c r="I24" s="44">
        <v>10</v>
      </c>
      <c r="J24" s="44">
        <v>11</v>
      </c>
      <c r="K24" s="44">
        <v>12</v>
      </c>
      <c r="L24" s="45">
        <v>0</v>
      </c>
      <c r="N24" s="7">
        <v>41519</v>
      </c>
    </row>
    <row r="25" spans="2:19">
      <c r="B25" s="17">
        <f t="shared" si="0"/>
        <v>14</v>
      </c>
      <c r="C25" s="40" t="s">
        <v>42</v>
      </c>
      <c r="E25" s="43">
        <v>3.5</v>
      </c>
      <c r="F25" s="44">
        <v>0</v>
      </c>
      <c r="G25" s="44">
        <v>15</v>
      </c>
      <c r="H25" s="44">
        <v>15</v>
      </c>
      <c r="I25" s="44">
        <v>10</v>
      </c>
      <c r="J25" s="44">
        <v>10</v>
      </c>
      <c r="K25" s="44">
        <v>10</v>
      </c>
      <c r="L25" s="45">
        <v>0</v>
      </c>
      <c r="N25" s="7">
        <v>41561</v>
      </c>
    </row>
    <row r="26" spans="2:19" ht="15.75" thickBot="1">
      <c r="B26" s="19">
        <f t="shared" si="0"/>
        <v>15</v>
      </c>
      <c r="C26" s="41" t="s">
        <v>43</v>
      </c>
      <c r="E26" s="46">
        <v>4.5</v>
      </c>
      <c r="F26" s="47">
        <v>0</v>
      </c>
      <c r="G26" s="47">
        <v>9</v>
      </c>
      <c r="H26" s="47">
        <v>9</v>
      </c>
      <c r="I26" s="47">
        <v>9</v>
      </c>
      <c r="J26" s="47">
        <v>9</v>
      </c>
      <c r="K26" s="47">
        <v>0</v>
      </c>
      <c r="L26" s="33">
        <v>0</v>
      </c>
      <c r="N26" s="7">
        <v>41563</v>
      </c>
    </row>
    <row r="27" spans="2:19" ht="15.75" thickBot="1">
      <c r="N27" s="7">
        <v>41565</v>
      </c>
    </row>
    <row r="28" spans="2:19" ht="15.75" thickBot="1">
      <c r="E28" s="75" t="s">
        <v>52</v>
      </c>
      <c r="F28" s="76"/>
      <c r="G28" s="76"/>
      <c r="H28" s="76"/>
      <c r="I28" s="76"/>
      <c r="J28" s="76"/>
      <c r="K28" s="76"/>
      <c r="L28" s="77"/>
      <c r="N28" s="7">
        <v>41575</v>
      </c>
    </row>
    <row r="29" spans="2:19">
      <c r="E29" s="13" t="s">
        <v>1</v>
      </c>
      <c r="F29" s="42" t="s">
        <v>45</v>
      </c>
      <c r="G29" s="42" t="s">
        <v>46</v>
      </c>
      <c r="H29" s="42" t="s">
        <v>47</v>
      </c>
      <c r="I29" s="42" t="s">
        <v>48</v>
      </c>
      <c r="J29" s="42" t="s">
        <v>49</v>
      </c>
      <c r="K29" s="42" t="s">
        <v>14</v>
      </c>
      <c r="L29" s="32" t="s">
        <v>45</v>
      </c>
      <c r="N29" s="7">
        <v>41603</v>
      </c>
    </row>
    <row r="30" spans="2:19">
      <c r="E30" s="17">
        <v>0.5</v>
      </c>
      <c r="F30" s="56">
        <v>0</v>
      </c>
      <c r="G30" s="56" t="s">
        <v>53</v>
      </c>
      <c r="H30" s="56" t="s">
        <v>54</v>
      </c>
      <c r="I30" s="56" t="s">
        <v>55</v>
      </c>
      <c r="J30" s="56" t="s">
        <v>54</v>
      </c>
      <c r="K30" s="56" t="s">
        <v>53</v>
      </c>
      <c r="L30" s="57">
        <v>0</v>
      </c>
      <c r="N30" s="7">
        <v>41604</v>
      </c>
    </row>
    <row r="31" spans="2:19">
      <c r="E31" s="17">
        <v>1.5</v>
      </c>
      <c r="F31" s="56">
        <v>0</v>
      </c>
      <c r="G31" s="56" t="s">
        <v>56</v>
      </c>
      <c r="H31" s="56" t="s">
        <v>56</v>
      </c>
      <c r="I31" s="56" t="s">
        <v>57</v>
      </c>
      <c r="J31" s="56" t="s">
        <v>58</v>
      </c>
      <c r="K31" s="56" t="s">
        <v>56</v>
      </c>
      <c r="L31" s="57">
        <v>0</v>
      </c>
      <c r="N31" s="7">
        <v>41605</v>
      </c>
    </row>
    <row r="32" spans="2:19">
      <c r="E32" s="17">
        <v>3.5</v>
      </c>
      <c r="F32" s="56">
        <v>0</v>
      </c>
      <c r="G32" s="56" t="s">
        <v>59</v>
      </c>
      <c r="H32" s="56" t="s">
        <v>59</v>
      </c>
      <c r="I32" s="56" t="s">
        <v>60</v>
      </c>
      <c r="J32" s="56" t="s">
        <v>60</v>
      </c>
      <c r="K32" s="56" t="s">
        <v>61</v>
      </c>
      <c r="L32" s="57">
        <v>0</v>
      </c>
      <c r="N32" s="7">
        <v>41606</v>
      </c>
    </row>
    <row r="33" spans="5:14">
      <c r="E33" s="17">
        <v>4.5</v>
      </c>
      <c r="F33" s="56">
        <v>0</v>
      </c>
      <c r="G33" s="56" t="s">
        <v>62</v>
      </c>
      <c r="H33" s="56" t="s">
        <v>62</v>
      </c>
      <c r="I33" s="56" t="s">
        <v>62</v>
      </c>
      <c r="J33" s="56" t="s">
        <v>62</v>
      </c>
      <c r="K33" s="56">
        <v>0</v>
      </c>
      <c r="L33" s="57">
        <v>0</v>
      </c>
      <c r="N33" s="7">
        <v>41607</v>
      </c>
    </row>
    <row r="34" spans="5:14">
      <c r="E34" s="17">
        <v>1</v>
      </c>
      <c r="F34" s="56">
        <v>0</v>
      </c>
      <c r="G34" s="56" t="s">
        <v>63</v>
      </c>
      <c r="H34" s="56" t="s">
        <v>63</v>
      </c>
      <c r="I34" s="56" t="s">
        <v>64</v>
      </c>
      <c r="J34" s="56" t="s">
        <v>63</v>
      </c>
      <c r="K34" s="56" t="s">
        <v>63</v>
      </c>
      <c r="L34" s="57">
        <v>0</v>
      </c>
      <c r="N34" s="7"/>
    </row>
    <row r="35" spans="5:14">
      <c r="E35" s="17">
        <v>2</v>
      </c>
      <c r="F35" s="56">
        <v>0</v>
      </c>
      <c r="G35" s="56" t="s">
        <v>65</v>
      </c>
      <c r="H35" s="56" t="s">
        <v>65</v>
      </c>
      <c r="I35" s="56" t="s">
        <v>66</v>
      </c>
      <c r="J35" s="56" t="s">
        <v>66</v>
      </c>
      <c r="K35" s="56" t="s">
        <v>65</v>
      </c>
      <c r="L35" s="57">
        <v>0</v>
      </c>
      <c r="N35" s="7"/>
    </row>
    <row r="36" spans="5:14">
      <c r="E36" s="17">
        <v>3</v>
      </c>
      <c r="F36" s="56">
        <v>0</v>
      </c>
      <c r="G36" s="56" t="s">
        <v>67</v>
      </c>
      <c r="H36" s="56" t="s">
        <v>67</v>
      </c>
      <c r="I36" s="56" t="s">
        <v>68</v>
      </c>
      <c r="J36" s="56" t="s">
        <v>68</v>
      </c>
      <c r="K36" s="56" t="s">
        <v>67</v>
      </c>
      <c r="L36" s="57">
        <v>0</v>
      </c>
      <c r="N36" s="7"/>
    </row>
    <row r="37" spans="5:14" ht="15.75" thickBot="1">
      <c r="E37" s="19">
        <v>4</v>
      </c>
      <c r="F37" s="58">
        <v>0</v>
      </c>
      <c r="G37" s="58" t="s">
        <v>69</v>
      </c>
      <c r="H37" s="58" t="s">
        <v>69</v>
      </c>
      <c r="I37" s="58" t="s">
        <v>69</v>
      </c>
      <c r="J37" s="58" t="s">
        <v>69</v>
      </c>
      <c r="K37" s="58" t="s">
        <v>70</v>
      </c>
      <c r="L37" s="59">
        <v>0</v>
      </c>
      <c r="N37" s="7"/>
    </row>
    <row r="38" spans="5:14">
      <c r="N38" s="7"/>
    </row>
    <row r="39" spans="5:14">
      <c r="N39" s="7"/>
    </row>
    <row r="40" spans="5:14">
      <c r="N40" s="7"/>
    </row>
    <row r="41" spans="5:14">
      <c r="N41" s="7"/>
    </row>
    <row r="42" spans="5:14">
      <c r="N42" s="7"/>
    </row>
    <row r="43" spans="5:14">
      <c r="N43" s="7"/>
    </row>
    <row r="44" spans="5:14">
      <c r="N44" s="7"/>
    </row>
    <row r="45" spans="5:14">
      <c r="N45" s="7"/>
    </row>
    <row r="46" spans="5:14">
      <c r="N46" s="7"/>
    </row>
    <row r="47" spans="5:14">
      <c r="N47" s="7"/>
    </row>
    <row r="48" spans="5:14">
      <c r="N48" s="7"/>
    </row>
    <row r="49" spans="14:14">
      <c r="N49" s="7"/>
    </row>
    <row r="50" spans="14:14">
      <c r="N50" s="7"/>
    </row>
    <row r="51" spans="14:14">
      <c r="N51" s="7"/>
    </row>
    <row r="52" spans="14:14">
      <c r="N52" s="7"/>
    </row>
    <row r="53" spans="14:14">
      <c r="N53" s="7"/>
    </row>
    <row r="54" spans="14:14">
      <c r="N54" s="7"/>
    </row>
    <row r="55" spans="14:14">
      <c r="N55" s="7"/>
    </row>
    <row r="56" spans="14:14">
      <c r="N56" s="7"/>
    </row>
    <row r="57" spans="14:14">
      <c r="N57" s="7"/>
    </row>
    <row r="58" spans="14:14">
      <c r="N58" s="7"/>
    </row>
    <row r="59" spans="14:14">
      <c r="N59" s="7"/>
    </row>
    <row r="60" spans="14:14">
      <c r="N60" s="7"/>
    </row>
    <row r="61" spans="14:14">
      <c r="N61" s="7"/>
    </row>
    <row r="62" spans="14:14">
      <c r="N62" s="7"/>
    </row>
    <row r="63" spans="14:14">
      <c r="N63" s="7"/>
    </row>
    <row r="64" spans="14:14">
      <c r="N64" s="7"/>
    </row>
    <row r="65" spans="14:14">
      <c r="N65" s="7"/>
    </row>
    <row r="66" spans="14:14">
      <c r="N66" s="1"/>
    </row>
    <row r="67" spans="14:14">
      <c r="N67" s="1"/>
    </row>
    <row r="68" spans="14:14">
      <c r="N68" s="1"/>
    </row>
    <row r="69" spans="14:14">
      <c r="N69" s="1"/>
    </row>
    <row r="70" spans="14:14">
      <c r="N70" s="1"/>
    </row>
    <row r="71" spans="14:14">
      <c r="N71" s="1"/>
    </row>
    <row r="72" spans="14:14">
      <c r="N72" s="1"/>
    </row>
    <row r="73" spans="14:14">
      <c r="N73" s="1"/>
    </row>
    <row r="74" spans="14:14">
      <c r="N74" s="1"/>
    </row>
    <row r="75" spans="14:14">
      <c r="N75" s="1"/>
    </row>
    <row r="76" spans="14:14">
      <c r="N76" s="1"/>
    </row>
    <row r="77" spans="14:14">
      <c r="N77" s="1"/>
    </row>
    <row r="78" spans="14:14">
      <c r="N78" s="1"/>
    </row>
    <row r="79" spans="14:14">
      <c r="N79" s="1"/>
    </row>
    <row r="80" spans="14:14">
      <c r="N80" s="1"/>
    </row>
    <row r="81" spans="14:14">
      <c r="N81" s="1"/>
    </row>
    <row r="82" spans="14:14">
      <c r="N82" s="1"/>
    </row>
    <row r="83" spans="14:14">
      <c r="N83" s="1"/>
    </row>
    <row r="84" spans="14:14">
      <c r="N84" s="1"/>
    </row>
    <row r="85" spans="14:14">
      <c r="N85" s="1"/>
    </row>
    <row r="86" spans="14:14">
      <c r="N86" s="1"/>
    </row>
    <row r="87" spans="14:14">
      <c r="N87" s="1"/>
    </row>
    <row r="88" spans="14:14">
      <c r="N88" s="1"/>
    </row>
    <row r="89" spans="14:14">
      <c r="N89" s="1"/>
    </row>
    <row r="90" spans="14:14">
      <c r="N90" s="1"/>
    </row>
    <row r="91" spans="14:14">
      <c r="N91" s="1"/>
    </row>
    <row r="92" spans="14:14">
      <c r="N92" s="1"/>
    </row>
    <row r="93" spans="14:14">
      <c r="N93" s="1"/>
    </row>
    <row r="94" spans="14:14">
      <c r="N94" s="1"/>
    </row>
    <row r="95" spans="14:14">
      <c r="N95" s="1"/>
    </row>
    <row r="96" spans="14:14">
      <c r="N96" s="1"/>
    </row>
    <row r="97" spans="14:14">
      <c r="N97" s="1"/>
    </row>
    <row r="98" spans="14:14">
      <c r="N98" s="1"/>
    </row>
    <row r="99" spans="14:14">
      <c r="N99" s="1"/>
    </row>
    <row r="100" spans="14:14">
      <c r="N100" s="1"/>
    </row>
    <row r="101" spans="14:14">
      <c r="N101" s="1"/>
    </row>
    <row r="102" spans="14:14">
      <c r="N102" s="1"/>
    </row>
    <row r="103" spans="14:14">
      <c r="N103" s="1"/>
    </row>
    <row r="104" spans="14:14">
      <c r="N104" s="1"/>
    </row>
    <row r="105" spans="14:14">
      <c r="N105" s="1"/>
    </row>
    <row r="106" spans="14:14">
      <c r="N106" s="1"/>
    </row>
    <row r="107" spans="14:14">
      <c r="N107" s="1"/>
    </row>
    <row r="108" spans="14:14">
      <c r="N108" s="1"/>
    </row>
    <row r="109" spans="14:14">
      <c r="N109" s="1"/>
    </row>
    <row r="110" spans="14:14">
      <c r="N110" s="1"/>
    </row>
    <row r="111" spans="14:14">
      <c r="N111" s="1"/>
    </row>
    <row r="112" spans="14:14">
      <c r="N112" s="1"/>
    </row>
    <row r="113" spans="14:14">
      <c r="N113" s="1"/>
    </row>
    <row r="114" spans="14:14">
      <c r="N114" s="1"/>
    </row>
    <row r="115" spans="14:14">
      <c r="N115" s="1"/>
    </row>
    <row r="116" spans="14:14">
      <c r="N116" s="1"/>
    </row>
    <row r="117" spans="14:14">
      <c r="N117" s="1"/>
    </row>
    <row r="118" spans="14:14">
      <c r="N118" s="1"/>
    </row>
    <row r="119" spans="14:14">
      <c r="N119" s="1"/>
    </row>
    <row r="120" spans="14:14">
      <c r="N120" s="1"/>
    </row>
    <row r="121" spans="14:14">
      <c r="N121" s="1"/>
    </row>
    <row r="122" spans="14:14">
      <c r="N122" s="1"/>
    </row>
    <row r="123" spans="14:14">
      <c r="N123" s="1"/>
    </row>
    <row r="124" spans="14:14" ht="15.75" thickBot="1">
      <c r="N124" s="8"/>
    </row>
  </sheetData>
  <sheetProtection password="C836" sheet="1" objects="1" scenarios="1" formatColumns="0" formatRows="0"/>
  <mergeCells count="21">
    <mergeCell ref="H10:J11"/>
    <mergeCell ref="E3:G3"/>
    <mergeCell ref="E4:G5"/>
    <mergeCell ref="E6:G7"/>
    <mergeCell ref="E8:G9"/>
    <mergeCell ref="B2:C2"/>
    <mergeCell ref="B3:C3"/>
    <mergeCell ref="E28:L28"/>
    <mergeCell ref="P9:S9"/>
    <mergeCell ref="E21:L21"/>
    <mergeCell ref="E14:L14"/>
    <mergeCell ref="B9:C9"/>
    <mergeCell ref="E2:J2"/>
    <mergeCell ref="L3:R4"/>
    <mergeCell ref="L5:R7"/>
    <mergeCell ref="L2:R2"/>
    <mergeCell ref="E10:G11"/>
    <mergeCell ref="H3:J3"/>
    <mergeCell ref="H4:J5"/>
    <mergeCell ref="H6:J7"/>
    <mergeCell ref="H8:J9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B1:S124"/>
  <sheetViews>
    <sheetView workbookViewId="0">
      <selection activeCell="N14" sqref="N14"/>
    </sheetView>
  </sheetViews>
  <sheetFormatPr defaultRowHeight="15"/>
  <cols>
    <col min="1" max="1" width="5" style="9" customWidth="1"/>
    <col min="2" max="2" width="6.85546875" style="9" customWidth="1"/>
    <col min="3" max="3" width="14" style="9" customWidth="1"/>
    <col min="4" max="4" width="2.5703125" style="9" customWidth="1"/>
    <col min="5" max="5" width="8.85546875" style="25" customWidth="1"/>
    <col min="6" max="12" width="10.7109375" style="9" customWidth="1"/>
    <col min="13" max="13" width="2" style="9" customWidth="1"/>
    <col min="14" max="14" width="20.28515625" style="9" customWidth="1"/>
    <col min="15" max="15" width="1.85546875" style="9" customWidth="1"/>
    <col min="16" max="16" width="6.85546875" style="9" customWidth="1"/>
    <col min="17" max="17" width="7.7109375" style="9" customWidth="1"/>
    <col min="18" max="18" width="15.140625" style="9" customWidth="1"/>
    <col min="19" max="19" width="12" style="9" customWidth="1"/>
    <col min="20" max="20" width="9.140625" style="9" customWidth="1"/>
    <col min="21" max="21" width="13.140625" style="9" customWidth="1"/>
    <col min="22" max="22" width="13.42578125" style="9" customWidth="1"/>
    <col min="23" max="23" width="3.5703125" style="9" customWidth="1"/>
    <col min="24" max="24" width="31.7109375" style="9" customWidth="1"/>
    <col min="25" max="25" width="28" style="9" customWidth="1"/>
    <col min="26" max="16384" width="9.140625" style="9"/>
  </cols>
  <sheetData>
    <row r="1" spans="2:19" ht="15.75" thickBot="1"/>
    <row r="2" spans="2:19" ht="15.75" thickBot="1">
      <c r="B2" s="71" t="s">
        <v>35</v>
      </c>
      <c r="C2" s="72"/>
      <c r="E2" s="75" t="s">
        <v>30</v>
      </c>
      <c r="F2" s="76"/>
      <c r="G2" s="76"/>
      <c r="H2" s="76"/>
      <c r="I2" s="76"/>
      <c r="J2" s="77"/>
      <c r="L2" s="87" t="s">
        <v>32</v>
      </c>
      <c r="M2" s="88"/>
      <c r="N2" s="88"/>
      <c r="O2" s="88"/>
      <c r="P2" s="88"/>
      <c r="Q2" s="88"/>
      <c r="R2" s="89"/>
    </row>
    <row r="3" spans="2:19" ht="15.75" thickBot="1">
      <c r="B3" s="73" t="s">
        <v>21</v>
      </c>
      <c r="C3" s="74"/>
      <c r="E3" s="102" t="s">
        <v>27</v>
      </c>
      <c r="F3" s="103"/>
      <c r="G3" s="103"/>
      <c r="H3" s="90" t="s">
        <v>28</v>
      </c>
      <c r="I3" s="91"/>
      <c r="J3" s="92"/>
      <c r="L3" s="78" t="s">
        <v>33</v>
      </c>
      <c r="M3" s="79"/>
      <c r="N3" s="79"/>
      <c r="O3" s="79"/>
      <c r="P3" s="79"/>
      <c r="Q3" s="79"/>
      <c r="R3" s="80"/>
      <c r="S3" s="16"/>
    </row>
    <row r="4" spans="2:19">
      <c r="E4" s="81" t="s">
        <v>72</v>
      </c>
      <c r="F4" s="82"/>
      <c r="G4" s="82"/>
      <c r="H4" s="93" t="s">
        <v>73</v>
      </c>
      <c r="I4" s="94"/>
      <c r="J4" s="95"/>
      <c r="L4" s="81"/>
      <c r="M4" s="82"/>
      <c r="N4" s="82"/>
      <c r="O4" s="82"/>
      <c r="P4" s="82"/>
      <c r="Q4" s="82"/>
      <c r="R4" s="83"/>
      <c r="S4" s="18"/>
    </row>
    <row r="5" spans="2:19">
      <c r="E5" s="81"/>
      <c r="F5" s="82"/>
      <c r="G5" s="82"/>
      <c r="H5" s="96"/>
      <c r="I5" s="97"/>
      <c r="J5" s="98"/>
      <c r="L5" s="81" t="s">
        <v>51</v>
      </c>
      <c r="M5" s="82"/>
      <c r="N5" s="82"/>
      <c r="O5" s="82"/>
      <c r="P5" s="82"/>
      <c r="Q5" s="82"/>
      <c r="R5" s="83"/>
      <c r="S5" s="18"/>
    </row>
    <row r="6" spans="2:19">
      <c r="E6" s="81" t="s">
        <v>74</v>
      </c>
      <c r="F6" s="82"/>
      <c r="G6" s="82"/>
      <c r="H6" s="93" t="s">
        <v>75</v>
      </c>
      <c r="I6" s="94"/>
      <c r="J6" s="95"/>
      <c r="L6" s="81"/>
      <c r="M6" s="82"/>
      <c r="N6" s="82"/>
      <c r="O6" s="82"/>
      <c r="P6" s="82"/>
      <c r="Q6" s="82"/>
      <c r="R6" s="83"/>
      <c r="S6" s="18"/>
    </row>
    <row r="7" spans="2:19" ht="15.75" thickBot="1">
      <c r="E7" s="81"/>
      <c r="F7" s="82"/>
      <c r="G7" s="82"/>
      <c r="H7" s="96"/>
      <c r="I7" s="97"/>
      <c r="J7" s="98"/>
      <c r="L7" s="84"/>
      <c r="M7" s="85"/>
      <c r="N7" s="85"/>
      <c r="O7" s="85"/>
      <c r="P7" s="85"/>
      <c r="Q7" s="85"/>
      <c r="R7" s="86"/>
    </row>
    <row r="8" spans="2:19" ht="15.75" thickBot="1">
      <c r="E8" s="81" t="s">
        <v>79</v>
      </c>
      <c r="F8" s="82"/>
      <c r="G8" s="82"/>
      <c r="H8" s="93" t="s">
        <v>78</v>
      </c>
      <c r="I8" s="94"/>
      <c r="J8" s="95"/>
    </row>
    <row r="9" spans="2:19" ht="15.75" thickBot="1">
      <c r="B9" s="75" t="s">
        <v>22</v>
      </c>
      <c r="C9" s="77"/>
      <c r="E9" s="81"/>
      <c r="F9" s="82"/>
      <c r="G9" s="82"/>
      <c r="H9" s="96"/>
      <c r="I9" s="97"/>
      <c r="J9" s="98"/>
      <c r="N9" s="11" t="s">
        <v>24</v>
      </c>
      <c r="P9" s="75" t="s">
        <v>26</v>
      </c>
      <c r="Q9" s="76"/>
      <c r="R9" s="76"/>
      <c r="S9" s="77"/>
    </row>
    <row r="10" spans="2:19" ht="15.75" thickBot="1">
      <c r="B10" s="13" t="s">
        <v>2</v>
      </c>
      <c r="C10" s="36" t="s">
        <v>3</v>
      </c>
      <c r="E10" s="81" t="s">
        <v>77</v>
      </c>
      <c r="F10" s="82"/>
      <c r="G10" s="82"/>
      <c r="H10" s="93" t="s">
        <v>29</v>
      </c>
      <c r="I10" s="94"/>
      <c r="J10" s="95"/>
      <c r="N10" s="26" t="s">
        <v>11</v>
      </c>
      <c r="P10" s="48" t="str">
        <f>INDEX(F15:L15, 1, Q10)</f>
        <v>G</v>
      </c>
      <c r="Q10" s="60">
        <f>MOD(N17, 7)+1</f>
        <v>7</v>
      </c>
      <c r="R10" s="61" t="str">
        <f>CHOOSE(N19, "Sunday", "Monday", "Tuesday", "Wednesday", "Thursday", "Friday", "Saturday")</f>
        <v>Wednesday</v>
      </c>
      <c r="S10" s="62">
        <f>N14</f>
        <v>41773</v>
      </c>
    </row>
    <row r="11" spans="2:19" ht="15.75" thickBot="1">
      <c r="B11" s="17">
        <v>0</v>
      </c>
      <c r="C11" s="37" t="s">
        <v>80</v>
      </c>
      <c r="E11" s="84"/>
      <c r="F11" s="85"/>
      <c r="G11" s="85"/>
      <c r="H11" s="99"/>
      <c r="I11" s="100"/>
      <c r="J11" s="101"/>
      <c r="N11" s="2">
        <v>41645</v>
      </c>
      <c r="P11" s="49" t="s">
        <v>1</v>
      </c>
      <c r="Q11" s="50" t="s">
        <v>2</v>
      </c>
      <c r="R11" s="63" t="s">
        <v>4</v>
      </c>
      <c r="S11" s="64" t="s">
        <v>71</v>
      </c>
    </row>
    <row r="12" spans="2:19">
      <c r="B12" s="17">
        <v>1</v>
      </c>
      <c r="C12" s="38" t="s">
        <v>6</v>
      </c>
      <c r="E12" s="35"/>
      <c r="N12" s="27" t="s">
        <v>31</v>
      </c>
      <c r="P12" s="21">
        <v>0.5</v>
      </c>
      <c r="Q12" s="51">
        <f>INDEX(F23:L26, 1, N19)</f>
        <v>14</v>
      </c>
      <c r="R12" s="65" t="str">
        <f>INDEX(C11:C26, Q12+1, 1)</f>
        <v>FAC MTGS</v>
      </c>
      <c r="S12" s="66" t="str">
        <f>INDEX(F30:L33, 1, N19)</f>
        <v>7:45-9:00</v>
      </c>
    </row>
    <row r="13" spans="2:19" ht="15.75" thickBot="1">
      <c r="B13" s="17">
        <f>B12+1</f>
        <v>2</v>
      </c>
      <c r="C13" s="38" t="s">
        <v>5</v>
      </c>
      <c r="E13" s="9"/>
      <c r="N13" s="28"/>
      <c r="P13" s="52">
        <v>1</v>
      </c>
      <c r="Q13" s="53">
        <f>INDEX(F16:L19,P13, Q10)</f>
        <v>4</v>
      </c>
      <c r="R13" s="67" t="str">
        <f>INDEX(C12:C19, Q13, 1)</f>
        <v>Bible</v>
      </c>
      <c r="S13" s="68" t="str">
        <f>INDEX(F34:L37, P13, N19)</f>
        <v>9:00-10:10</v>
      </c>
    </row>
    <row r="14" spans="2:19" ht="15.75" thickBot="1">
      <c r="B14" s="17">
        <f t="shared" ref="B14:B26" si="0">B13+1</f>
        <v>3</v>
      </c>
      <c r="C14" s="38" t="s">
        <v>7</v>
      </c>
      <c r="E14" s="75" t="s">
        <v>23</v>
      </c>
      <c r="F14" s="76"/>
      <c r="G14" s="76"/>
      <c r="H14" s="76"/>
      <c r="I14" s="76"/>
      <c r="J14" s="76"/>
      <c r="K14" s="76"/>
      <c r="L14" s="77"/>
      <c r="N14" s="29">
        <v>41773</v>
      </c>
      <c r="P14" s="21">
        <v>1.5</v>
      </c>
      <c r="Q14" s="54">
        <f>INDEX(F23:L26, 2, N19)</f>
        <v>10</v>
      </c>
      <c r="R14" s="65" t="str">
        <f>INDEX(C11:C26, Q14+1, 1)</f>
        <v>Break</v>
      </c>
      <c r="S14" s="66" t="str">
        <f>INDEX(F30:L33, 2, N19)</f>
        <v>10:10-10:25</v>
      </c>
    </row>
    <row r="15" spans="2:19">
      <c r="B15" s="17">
        <f t="shared" si="0"/>
        <v>4</v>
      </c>
      <c r="C15" s="38" t="s">
        <v>8</v>
      </c>
      <c r="E15" s="23" t="s">
        <v>1</v>
      </c>
      <c r="F15" s="14" t="s">
        <v>16</v>
      </c>
      <c r="G15" s="14" t="s">
        <v>13</v>
      </c>
      <c r="H15" s="14" t="s">
        <v>17</v>
      </c>
      <c r="I15" s="14" t="s">
        <v>18</v>
      </c>
      <c r="J15" s="14" t="s">
        <v>19</v>
      </c>
      <c r="K15" s="14" t="s">
        <v>14</v>
      </c>
      <c r="L15" s="15" t="s">
        <v>20</v>
      </c>
      <c r="N15" s="30"/>
      <c r="P15" s="52">
        <v>2</v>
      </c>
      <c r="Q15" s="53">
        <f>INDEX(F16:L19,P15, Q10)</f>
        <v>5</v>
      </c>
      <c r="R15" s="67" t="str">
        <f>INDEX(C12:C19, Q15, 1)</f>
        <v>English</v>
      </c>
      <c r="S15" s="68" t="str">
        <f>INDEX(F34:L37, P15, N19)</f>
        <v>10:25-11:35</v>
      </c>
    </row>
    <row r="16" spans="2:19">
      <c r="B16" s="17">
        <f t="shared" si="0"/>
        <v>5</v>
      </c>
      <c r="C16" s="38" t="s">
        <v>9</v>
      </c>
      <c r="E16" s="17">
        <v>1</v>
      </c>
      <c r="F16" s="3">
        <v>1</v>
      </c>
      <c r="G16" s="3">
        <v>5</v>
      </c>
      <c r="H16" s="3">
        <v>2</v>
      </c>
      <c r="I16" s="3">
        <v>6</v>
      </c>
      <c r="J16" s="3">
        <v>3</v>
      </c>
      <c r="K16" s="3">
        <v>8</v>
      </c>
      <c r="L16" s="4">
        <v>4</v>
      </c>
      <c r="N16" s="27" t="s">
        <v>12</v>
      </c>
      <c r="P16" s="52">
        <v>3</v>
      </c>
      <c r="Q16" s="53">
        <f>INDEX(F16:L19,P17,Q10)</f>
        <v>6</v>
      </c>
      <c r="R16" s="67" t="str">
        <f>INDEX(C12:C19, Q16, 1)</f>
        <v>Orchestra</v>
      </c>
      <c r="S16" s="68" t="str">
        <f>INDEX(F34:L37, P16, N19)</f>
        <v>11:35-1:40</v>
      </c>
    </row>
    <row r="17" spans="2:19" ht="15.75" thickBot="1">
      <c r="B17" s="17">
        <f t="shared" si="0"/>
        <v>6</v>
      </c>
      <c r="C17" s="38" t="s">
        <v>10</v>
      </c>
      <c r="E17" s="17">
        <v>2</v>
      </c>
      <c r="F17" s="3">
        <v>2</v>
      </c>
      <c r="G17" s="3">
        <v>6</v>
      </c>
      <c r="H17" s="3">
        <v>3</v>
      </c>
      <c r="I17" s="3">
        <v>7</v>
      </c>
      <c r="J17" s="3">
        <v>4</v>
      </c>
      <c r="K17" s="3">
        <v>1</v>
      </c>
      <c r="L17" s="4">
        <v>5</v>
      </c>
      <c r="N17" s="20">
        <f>MAX(NETWORKDAYS(N11, N14,N23:N124)-1, 0)</f>
        <v>83</v>
      </c>
      <c r="P17" s="21">
        <v>3.5</v>
      </c>
      <c r="Q17" s="54">
        <f>INDEX(F23:L26, 3, N19)</f>
        <v>10</v>
      </c>
      <c r="R17" s="65" t="str">
        <f>INDEX(C11:C26, Q17+1, 1)</f>
        <v>Break</v>
      </c>
      <c r="S17" s="66" t="str">
        <f>INDEX(F30:L33, 3, N19)</f>
        <v>1:40-1:50</v>
      </c>
    </row>
    <row r="18" spans="2:19">
      <c r="B18" s="17">
        <f t="shared" si="0"/>
        <v>7</v>
      </c>
      <c r="C18" s="38" t="s">
        <v>7</v>
      </c>
      <c r="E18" s="17">
        <v>3</v>
      </c>
      <c r="F18" s="3">
        <v>3</v>
      </c>
      <c r="G18" s="3">
        <v>8</v>
      </c>
      <c r="H18" s="3">
        <v>4</v>
      </c>
      <c r="I18" s="3">
        <v>1</v>
      </c>
      <c r="J18" s="3">
        <v>5</v>
      </c>
      <c r="K18" s="3">
        <v>2</v>
      </c>
      <c r="L18" s="4">
        <v>6</v>
      </c>
      <c r="N18" s="34" t="s">
        <v>36</v>
      </c>
      <c r="P18" s="52">
        <v>4</v>
      </c>
      <c r="Q18" s="53">
        <f>INDEX(F16:L19,P18, Q10)</f>
        <v>7</v>
      </c>
      <c r="R18" s="67" t="str">
        <f>INDEX(C12:C19, Q18, 1)</f>
        <v>Physics</v>
      </c>
      <c r="S18" s="68" t="str">
        <f>INDEX(F34:L37, P18, N19)</f>
        <v>1:50-3:00</v>
      </c>
    </row>
    <row r="19" spans="2:19" ht="15.75" thickBot="1">
      <c r="B19" s="17">
        <f t="shared" si="0"/>
        <v>8</v>
      </c>
      <c r="C19" s="39" t="s">
        <v>15</v>
      </c>
      <c r="E19" s="19">
        <v>4</v>
      </c>
      <c r="F19" s="5">
        <v>4</v>
      </c>
      <c r="G19" s="5">
        <v>1</v>
      </c>
      <c r="H19" s="5">
        <v>5</v>
      </c>
      <c r="I19" s="5">
        <v>2</v>
      </c>
      <c r="J19" s="5">
        <v>6</v>
      </c>
      <c r="K19" s="5">
        <v>3</v>
      </c>
      <c r="L19" s="6">
        <v>7</v>
      </c>
      <c r="N19" s="20">
        <f>WEEKDAY(N14)</f>
        <v>4</v>
      </c>
      <c r="P19" s="22">
        <v>4.5</v>
      </c>
      <c r="Q19" s="55">
        <f>INDEX(F23:L26, 4, N19)</f>
        <v>9</v>
      </c>
      <c r="R19" s="69" t="str">
        <f>INDEX(C11:C26, Q19+1, 1)</f>
        <v>Office Hours</v>
      </c>
      <c r="S19" s="70" t="str">
        <f>INDEX(F30:L33, 4, N19)</f>
        <v>3:00-3:30</v>
      </c>
    </row>
    <row r="20" spans="2:19" ht="15.75" thickBot="1">
      <c r="B20" s="17">
        <f t="shared" si="0"/>
        <v>9</v>
      </c>
      <c r="C20" s="40" t="s">
        <v>37</v>
      </c>
      <c r="G20" s="31"/>
      <c r="P20" s="24"/>
      <c r="R20" s="25"/>
    </row>
    <row r="21" spans="2:19" ht="15.75" thickBot="1">
      <c r="B21" s="17">
        <f t="shared" si="0"/>
        <v>10</v>
      </c>
      <c r="C21" s="40" t="s">
        <v>38</v>
      </c>
      <c r="E21" s="75" t="s">
        <v>44</v>
      </c>
      <c r="F21" s="76"/>
      <c r="G21" s="76"/>
      <c r="H21" s="76"/>
      <c r="I21" s="76"/>
      <c r="J21" s="76"/>
      <c r="K21" s="76"/>
      <c r="L21" s="77"/>
      <c r="N21" s="10" t="s">
        <v>25</v>
      </c>
      <c r="P21" s="24"/>
      <c r="R21" s="25"/>
    </row>
    <row r="22" spans="2:19">
      <c r="B22" s="17">
        <f t="shared" si="0"/>
        <v>11</v>
      </c>
      <c r="C22" s="40" t="s">
        <v>39</v>
      </c>
      <c r="E22" s="13" t="s">
        <v>1</v>
      </c>
      <c r="F22" s="42" t="s">
        <v>45</v>
      </c>
      <c r="G22" s="42" t="s">
        <v>46</v>
      </c>
      <c r="H22" s="42" t="s">
        <v>47</v>
      </c>
      <c r="I22" s="42" t="s">
        <v>48</v>
      </c>
      <c r="J22" s="42" t="s">
        <v>49</v>
      </c>
      <c r="K22" s="42" t="s">
        <v>14</v>
      </c>
      <c r="L22" s="32" t="s">
        <v>45</v>
      </c>
      <c r="N22" s="12" t="s">
        <v>0</v>
      </c>
    </row>
    <row r="23" spans="2:19">
      <c r="B23" s="17">
        <f t="shared" si="0"/>
        <v>12</v>
      </c>
      <c r="C23" s="40" t="s">
        <v>40</v>
      </c>
      <c r="E23" s="43">
        <v>0.5</v>
      </c>
      <c r="F23" s="44">
        <v>0</v>
      </c>
      <c r="G23" s="44">
        <v>9</v>
      </c>
      <c r="H23" s="44">
        <v>13</v>
      </c>
      <c r="I23" s="44">
        <v>14</v>
      </c>
      <c r="J23" s="44">
        <v>13</v>
      </c>
      <c r="K23" s="44">
        <v>9</v>
      </c>
      <c r="L23" s="45">
        <v>0</v>
      </c>
      <c r="N23" s="7">
        <v>41659</v>
      </c>
    </row>
    <row r="24" spans="2:19">
      <c r="B24" s="17">
        <f t="shared" si="0"/>
        <v>13</v>
      </c>
      <c r="C24" s="40" t="s">
        <v>41</v>
      </c>
      <c r="E24" s="43">
        <v>1.5</v>
      </c>
      <c r="F24" s="44">
        <v>0</v>
      </c>
      <c r="G24" s="44">
        <v>10</v>
      </c>
      <c r="H24" s="44">
        <v>10</v>
      </c>
      <c r="I24" s="44">
        <v>10</v>
      </c>
      <c r="J24" s="44">
        <v>11</v>
      </c>
      <c r="K24" s="44">
        <v>12</v>
      </c>
      <c r="L24" s="45">
        <v>0</v>
      </c>
      <c r="N24" s="7">
        <v>41687</v>
      </c>
    </row>
    <row r="25" spans="2:19">
      <c r="B25" s="17">
        <f t="shared" si="0"/>
        <v>14</v>
      </c>
      <c r="C25" s="40" t="s">
        <v>42</v>
      </c>
      <c r="E25" s="43">
        <v>3.5</v>
      </c>
      <c r="F25" s="44">
        <v>0</v>
      </c>
      <c r="G25" s="44">
        <v>15</v>
      </c>
      <c r="H25" s="44">
        <v>15</v>
      </c>
      <c r="I25" s="44">
        <v>10</v>
      </c>
      <c r="J25" s="44">
        <v>10</v>
      </c>
      <c r="K25" s="44">
        <v>10</v>
      </c>
      <c r="L25" s="45">
        <v>0</v>
      </c>
      <c r="N25" s="7">
        <v>41706</v>
      </c>
    </row>
    <row r="26" spans="2:19" ht="15.75" thickBot="1">
      <c r="B26" s="19">
        <f t="shared" si="0"/>
        <v>15</v>
      </c>
      <c r="C26" s="41" t="s">
        <v>43</v>
      </c>
      <c r="E26" s="46">
        <v>4.5</v>
      </c>
      <c r="F26" s="47">
        <v>0</v>
      </c>
      <c r="G26" s="47">
        <v>9</v>
      </c>
      <c r="H26" s="47">
        <v>9</v>
      </c>
      <c r="I26" s="47">
        <v>9</v>
      </c>
      <c r="J26" s="47">
        <v>9</v>
      </c>
      <c r="K26" s="47">
        <v>0</v>
      </c>
      <c r="L26" s="33">
        <v>0</v>
      </c>
      <c r="N26" s="7">
        <v>41707</v>
      </c>
    </row>
    <row r="27" spans="2:19" ht="15.75" thickBot="1">
      <c r="N27" s="7">
        <v>41708</v>
      </c>
    </row>
    <row r="28" spans="2:19" ht="15.75" thickBot="1">
      <c r="E28" s="75" t="s">
        <v>52</v>
      </c>
      <c r="F28" s="76"/>
      <c r="G28" s="76"/>
      <c r="H28" s="76"/>
      <c r="I28" s="76"/>
      <c r="J28" s="76"/>
      <c r="K28" s="76"/>
      <c r="L28" s="77"/>
      <c r="N28" s="7">
        <v>41709</v>
      </c>
    </row>
    <row r="29" spans="2:19">
      <c r="E29" s="13" t="s">
        <v>1</v>
      </c>
      <c r="F29" s="42" t="s">
        <v>45</v>
      </c>
      <c r="G29" s="42" t="s">
        <v>46</v>
      </c>
      <c r="H29" s="42" t="s">
        <v>47</v>
      </c>
      <c r="I29" s="42" t="s">
        <v>48</v>
      </c>
      <c r="J29" s="42" t="s">
        <v>49</v>
      </c>
      <c r="K29" s="42" t="s">
        <v>14</v>
      </c>
      <c r="L29" s="32" t="s">
        <v>45</v>
      </c>
      <c r="N29" s="7">
        <v>41710</v>
      </c>
    </row>
    <row r="30" spans="2:19">
      <c r="E30" s="17">
        <v>0.5</v>
      </c>
      <c r="F30" s="56">
        <v>0</v>
      </c>
      <c r="G30" s="56" t="s">
        <v>53</v>
      </c>
      <c r="H30" s="56" t="s">
        <v>54</v>
      </c>
      <c r="I30" s="56" t="s">
        <v>55</v>
      </c>
      <c r="J30" s="56" t="s">
        <v>54</v>
      </c>
      <c r="K30" s="56" t="s">
        <v>53</v>
      </c>
      <c r="L30" s="57">
        <v>0</v>
      </c>
      <c r="N30" s="7">
        <v>41711</v>
      </c>
    </row>
    <row r="31" spans="2:19">
      <c r="E31" s="17">
        <v>1.5</v>
      </c>
      <c r="F31" s="56">
        <v>0</v>
      </c>
      <c r="G31" s="56" t="s">
        <v>56</v>
      </c>
      <c r="H31" s="56" t="s">
        <v>56</v>
      </c>
      <c r="I31" s="56" t="s">
        <v>57</v>
      </c>
      <c r="J31" s="56" t="s">
        <v>58</v>
      </c>
      <c r="K31" s="56" t="s">
        <v>56</v>
      </c>
      <c r="L31" s="57">
        <v>0</v>
      </c>
      <c r="N31" s="7">
        <v>41712</v>
      </c>
    </row>
    <row r="32" spans="2:19">
      <c r="E32" s="17">
        <v>3.5</v>
      </c>
      <c r="F32" s="56">
        <v>0</v>
      </c>
      <c r="G32" s="56" t="s">
        <v>59</v>
      </c>
      <c r="H32" s="56" t="s">
        <v>59</v>
      </c>
      <c r="I32" s="56" t="s">
        <v>60</v>
      </c>
      <c r="J32" s="56" t="s">
        <v>60</v>
      </c>
      <c r="K32" s="56" t="s">
        <v>61</v>
      </c>
      <c r="L32" s="57">
        <v>0</v>
      </c>
      <c r="N32" s="7">
        <v>41713</v>
      </c>
    </row>
    <row r="33" spans="5:14">
      <c r="E33" s="17">
        <v>4.5</v>
      </c>
      <c r="F33" s="56">
        <v>0</v>
      </c>
      <c r="G33" s="56" t="s">
        <v>62</v>
      </c>
      <c r="H33" s="56" t="s">
        <v>62</v>
      </c>
      <c r="I33" s="56" t="s">
        <v>62</v>
      </c>
      <c r="J33" s="56" t="s">
        <v>62</v>
      </c>
      <c r="K33" s="56">
        <v>0</v>
      </c>
      <c r="L33" s="57">
        <v>0</v>
      </c>
      <c r="N33" s="7">
        <v>41714</v>
      </c>
    </row>
    <row r="34" spans="5:14">
      <c r="E34" s="17">
        <v>1</v>
      </c>
      <c r="F34" s="56">
        <v>0</v>
      </c>
      <c r="G34" s="56" t="s">
        <v>63</v>
      </c>
      <c r="H34" s="56" t="s">
        <v>63</v>
      </c>
      <c r="I34" s="56" t="s">
        <v>64</v>
      </c>
      <c r="J34" s="56" t="s">
        <v>63</v>
      </c>
      <c r="K34" s="56" t="s">
        <v>63</v>
      </c>
      <c r="L34" s="57">
        <v>0</v>
      </c>
      <c r="N34" s="7">
        <v>41747</v>
      </c>
    </row>
    <row r="35" spans="5:14">
      <c r="E35" s="17">
        <v>2</v>
      </c>
      <c r="F35" s="56">
        <v>0</v>
      </c>
      <c r="G35" s="56" t="s">
        <v>65</v>
      </c>
      <c r="H35" s="56" t="s">
        <v>65</v>
      </c>
      <c r="I35" s="56" t="s">
        <v>66</v>
      </c>
      <c r="J35" s="56" t="s">
        <v>66</v>
      </c>
      <c r="K35" s="56" t="s">
        <v>65</v>
      </c>
      <c r="L35" s="57">
        <v>0</v>
      </c>
      <c r="N35" s="7">
        <v>41748</v>
      </c>
    </row>
    <row r="36" spans="5:14">
      <c r="E36" s="17">
        <v>3</v>
      </c>
      <c r="F36" s="56">
        <v>0</v>
      </c>
      <c r="G36" s="56" t="s">
        <v>67</v>
      </c>
      <c r="H36" s="56" t="s">
        <v>67</v>
      </c>
      <c r="I36" s="56" t="s">
        <v>68</v>
      </c>
      <c r="J36" s="56" t="s">
        <v>68</v>
      </c>
      <c r="K36" s="56" t="s">
        <v>67</v>
      </c>
      <c r="L36" s="57">
        <v>0</v>
      </c>
      <c r="N36" s="7">
        <v>41749</v>
      </c>
    </row>
    <row r="37" spans="5:14" ht="15.75" thickBot="1">
      <c r="E37" s="19">
        <v>4</v>
      </c>
      <c r="F37" s="58">
        <v>0</v>
      </c>
      <c r="G37" s="58" t="s">
        <v>69</v>
      </c>
      <c r="H37" s="58" t="s">
        <v>69</v>
      </c>
      <c r="I37" s="58" t="s">
        <v>69</v>
      </c>
      <c r="J37" s="58" t="s">
        <v>69</v>
      </c>
      <c r="K37" s="58" t="s">
        <v>70</v>
      </c>
      <c r="L37" s="59">
        <v>0</v>
      </c>
      <c r="N37" s="7">
        <v>41750</v>
      </c>
    </row>
    <row r="38" spans="5:14">
      <c r="N38" s="7"/>
    </row>
    <row r="39" spans="5:14">
      <c r="N39" s="7"/>
    </row>
    <row r="40" spans="5:14">
      <c r="N40" s="7"/>
    </row>
    <row r="41" spans="5:14">
      <c r="N41" s="7"/>
    </row>
    <row r="42" spans="5:14">
      <c r="N42" s="7"/>
    </row>
    <row r="43" spans="5:14">
      <c r="N43" s="7"/>
    </row>
    <row r="44" spans="5:14">
      <c r="N44" s="7"/>
    </row>
    <row r="45" spans="5:14">
      <c r="N45" s="7"/>
    </row>
    <row r="46" spans="5:14">
      <c r="N46" s="7"/>
    </row>
    <row r="47" spans="5:14">
      <c r="N47" s="7"/>
    </row>
    <row r="48" spans="5:14">
      <c r="N48" s="7"/>
    </row>
    <row r="49" spans="14:14">
      <c r="N49" s="7"/>
    </row>
    <row r="50" spans="14:14">
      <c r="N50" s="7"/>
    </row>
    <row r="51" spans="14:14">
      <c r="N51" s="7"/>
    </row>
    <row r="52" spans="14:14">
      <c r="N52" s="7"/>
    </row>
    <row r="53" spans="14:14">
      <c r="N53" s="7"/>
    </row>
    <row r="54" spans="14:14">
      <c r="N54" s="7"/>
    </row>
    <row r="55" spans="14:14">
      <c r="N55" s="7"/>
    </row>
    <row r="56" spans="14:14">
      <c r="N56" s="7"/>
    </row>
    <row r="57" spans="14:14">
      <c r="N57" s="7"/>
    </row>
    <row r="58" spans="14:14">
      <c r="N58" s="7"/>
    </row>
    <row r="59" spans="14:14">
      <c r="N59" s="7"/>
    </row>
    <row r="60" spans="14:14">
      <c r="N60" s="7"/>
    </row>
    <row r="61" spans="14:14">
      <c r="N61" s="7"/>
    </row>
    <row r="62" spans="14:14">
      <c r="N62" s="7"/>
    </row>
    <row r="63" spans="14:14">
      <c r="N63" s="7"/>
    </row>
    <row r="64" spans="14:14">
      <c r="N64" s="7"/>
    </row>
    <row r="65" spans="14:14">
      <c r="N65" s="7"/>
    </row>
    <row r="66" spans="14:14">
      <c r="N66" s="1"/>
    </row>
    <row r="67" spans="14:14">
      <c r="N67" s="1"/>
    </row>
    <row r="68" spans="14:14">
      <c r="N68" s="1"/>
    </row>
    <row r="69" spans="14:14">
      <c r="N69" s="1"/>
    </row>
    <row r="70" spans="14:14">
      <c r="N70" s="1"/>
    </row>
    <row r="71" spans="14:14">
      <c r="N71" s="1"/>
    </row>
    <row r="72" spans="14:14">
      <c r="N72" s="1"/>
    </row>
    <row r="73" spans="14:14">
      <c r="N73" s="1"/>
    </row>
    <row r="74" spans="14:14">
      <c r="N74" s="1"/>
    </row>
    <row r="75" spans="14:14">
      <c r="N75" s="1"/>
    </row>
    <row r="76" spans="14:14">
      <c r="N76" s="1"/>
    </row>
    <row r="77" spans="14:14">
      <c r="N77" s="1"/>
    </row>
    <row r="78" spans="14:14">
      <c r="N78" s="1"/>
    </row>
    <row r="79" spans="14:14">
      <c r="N79" s="1"/>
    </row>
    <row r="80" spans="14:14">
      <c r="N80" s="1"/>
    </row>
    <row r="81" spans="14:14">
      <c r="N81" s="1"/>
    </row>
    <row r="82" spans="14:14">
      <c r="N82" s="1"/>
    </row>
    <row r="83" spans="14:14">
      <c r="N83" s="1"/>
    </row>
    <row r="84" spans="14:14">
      <c r="N84" s="1"/>
    </row>
    <row r="85" spans="14:14">
      <c r="N85" s="1"/>
    </row>
    <row r="86" spans="14:14">
      <c r="N86" s="1"/>
    </row>
    <row r="87" spans="14:14">
      <c r="N87" s="1"/>
    </row>
    <row r="88" spans="14:14">
      <c r="N88" s="1"/>
    </row>
    <row r="89" spans="14:14">
      <c r="N89" s="1"/>
    </row>
    <row r="90" spans="14:14">
      <c r="N90" s="1"/>
    </row>
    <row r="91" spans="14:14">
      <c r="N91" s="1"/>
    </row>
    <row r="92" spans="14:14">
      <c r="N92" s="1"/>
    </row>
    <row r="93" spans="14:14">
      <c r="N93" s="1"/>
    </row>
    <row r="94" spans="14:14">
      <c r="N94" s="1"/>
    </row>
    <row r="95" spans="14:14">
      <c r="N95" s="1"/>
    </row>
    <row r="96" spans="14:14">
      <c r="N96" s="1"/>
    </row>
    <row r="97" spans="14:14">
      <c r="N97" s="1"/>
    </row>
    <row r="98" spans="14:14">
      <c r="N98" s="1"/>
    </row>
    <row r="99" spans="14:14">
      <c r="N99" s="1"/>
    </row>
    <row r="100" spans="14:14">
      <c r="N100" s="1"/>
    </row>
    <row r="101" spans="14:14">
      <c r="N101" s="1"/>
    </row>
    <row r="102" spans="14:14">
      <c r="N102" s="1"/>
    </row>
    <row r="103" spans="14:14">
      <c r="N103" s="1"/>
    </row>
    <row r="104" spans="14:14">
      <c r="N104" s="1"/>
    </row>
    <row r="105" spans="14:14">
      <c r="N105" s="1"/>
    </row>
    <row r="106" spans="14:14">
      <c r="N106" s="1"/>
    </row>
    <row r="107" spans="14:14">
      <c r="N107" s="1"/>
    </row>
    <row r="108" spans="14:14">
      <c r="N108" s="1"/>
    </row>
    <row r="109" spans="14:14">
      <c r="N109" s="1"/>
    </row>
    <row r="110" spans="14:14">
      <c r="N110" s="1"/>
    </row>
    <row r="111" spans="14:14">
      <c r="N111" s="1"/>
    </row>
    <row r="112" spans="14:14">
      <c r="N112" s="1"/>
    </row>
    <row r="113" spans="14:14">
      <c r="N113" s="1"/>
    </row>
    <row r="114" spans="14:14">
      <c r="N114" s="1"/>
    </row>
    <row r="115" spans="14:14">
      <c r="N115" s="1"/>
    </row>
    <row r="116" spans="14:14">
      <c r="N116" s="1"/>
    </row>
    <row r="117" spans="14:14">
      <c r="N117" s="1"/>
    </row>
    <row r="118" spans="14:14">
      <c r="N118" s="1"/>
    </row>
    <row r="119" spans="14:14">
      <c r="N119" s="1"/>
    </row>
    <row r="120" spans="14:14">
      <c r="N120" s="1"/>
    </row>
    <row r="121" spans="14:14">
      <c r="N121" s="1"/>
    </row>
    <row r="122" spans="14:14">
      <c r="N122" s="1"/>
    </row>
    <row r="123" spans="14:14">
      <c r="N123" s="1"/>
    </row>
    <row r="124" spans="14:14" ht="15.75" thickBot="1">
      <c r="N124" s="8"/>
    </row>
  </sheetData>
  <sheetProtection password="C836" sheet="1" objects="1" scenarios="1" formatColumns="0" formatRows="0"/>
  <mergeCells count="21">
    <mergeCell ref="P9:S9"/>
    <mergeCell ref="E10:G11"/>
    <mergeCell ref="H10:J11"/>
    <mergeCell ref="E2:J2"/>
    <mergeCell ref="L2:R2"/>
    <mergeCell ref="E3:G3"/>
    <mergeCell ref="H3:J3"/>
    <mergeCell ref="L3:R4"/>
    <mergeCell ref="E4:G5"/>
    <mergeCell ref="H4:J5"/>
    <mergeCell ref="L5:R7"/>
    <mergeCell ref="E6:G7"/>
    <mergeCell ref="H6:J7"/>
    <mergeCell ref="E14:L14"/>
    <mergeCell ref="E21:L21"/>
    <mergeCell ref="E28:L28"/>
    <mergeCell ref="B2:C2"/>
    <mergeCell ref="B3:C3"/>
    <mergeCell ref="E8:G9"/>
    <mergeCell ref="H8:J9"/>
    <mergeCell ref="B9:C9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</cp:lastModifiedBy>
  <dcterms:created xsi:type="dcterms:W3CDTF">2013-08-23T19:14:01Z</dcterms:created>
  <dcterms:modified xsi:type="dcterms:W3CDTF">2013-08-25T01:36:39Z</dcterms:modified>
</cp:coreProperties>
</file>