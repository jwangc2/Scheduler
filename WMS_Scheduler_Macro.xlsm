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9" i="3" l="1"/>
  <c r="R10"/>
  <c r="S12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R10" s="1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<sst xmlns="http://schemas.openxmlformats.org/spreadsheetml/2006/main" count="282" uniqueCount="87">
  <si>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</si>
  <si>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</si>
  <si>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</si>
  <si>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</si>
  <si>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</si>
  <si>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</si>
  <si>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</si>
  <si>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</si>
  <si>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</si>
  <si>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</si>
  <si>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</si>
  <si>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</si>
  <si>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</si>
  <si>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</si>
  <si>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</si>
  <si>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</si>
  <si>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</si>
  <si>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</si>
  <si>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</si>
  <si>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</si>
  <si>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</si>
  <si>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</si>
  <si>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</si>
  <si>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</si>
  <si>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</si>
  <si>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</si>
  <si>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</si>
  <si>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</si>
  <si>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</si>
  <si>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Instructions</t>
  </si>
  <si>
    <t>Date to Schedule</t>
  </si>
  <si>
    <t>Disclaimers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</si>
  <si>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</si>
  <si>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</si>
  <si>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</si>
  <si>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</si>
  <si>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</si>
  <si>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</si>
  <si>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</si>
  <si>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</si>
  <si>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</si>
  <si>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</si>
  <si>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</si>
  <si>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</si>
  <si>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</si>
  <si>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</si>
  <si>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</si>
  <si>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</si>
  <si>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</si>
  <si>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</si>
  <si>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</si>
  <si>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</si>
  <si>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</si>
  <si>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</si>
  <si>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</si>
  <si>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</si>
  <si>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</si>
  <si>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</si>
  <si>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</si>
  <si>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</si>
  <si>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</si>
  <si>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</si>
  <si>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</si>
  <si>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</si>
  <si>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</si>
  <si>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</si>
  <si>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</si>
  <si>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Time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</si>
  <si>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</si>
  <si>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Weekend</t>
  </si>
  <si>
    <t>4. Make sure all the holidays are correctly marked in Fig. 4</t>
  </si>
  <si>
    <t>3. Read the results off of "Result"</t>
  </si>
  <si>
    <t>Handy Buttons (HB)</t>
  </si>
  <si>
    <r>
      <t xml:space="preserve">1. Fill out </t>
    </r>
    <r>
      <rPr>
        <b/>
        <sz val="11"/>
        <color theme="1"/>
        <rFont val="Calibri"/>
        <family val="2"/>
        <scheme val="minor"/>
      </rPr>
      <t>course names</t>
    </r>
    <r>
      <rPr>
        <sz val="11"/>
        <color theme="1"/>
        <rFont val="Calibri"/>
        <family val="2"/>
        <scheme val="minor"/>
      </rPr>
      <t xml:space="preserve"> in Fig. 1 (8 represents your Frees)</t>
    </r>
  </si>
  <si>
    <r>
      <t xml:space="preserve">3. Enter </t>
    </r>
    <r>
      <rPr>
        <b/>
        <sz val="11"/>
        <color theme="1"/>
        <rFont val="Calibri"/>
        <family val="2"/>
        <scheme val="minor"/>
      </rPr>
      <t xml:space="preserve">date of a Past "A" Day </t>
    </r>
    <r>
      <rPr>
        <sz val="11"/>
        <color theme="1"/>
        <rFont val="Calibri"/>
        <family val="2"/>
        <scheme val="minor"/>
      </rPr>
      <t xml:space="preserve">of Sem II in Fig. 3 (e.g 1/6/2014) </t>
    </r>
  </si>
  <si>
    <r>
      <t>1. Use the</t>
    </r>
    <r>
      <rPr>
        <b/>
        <sz val="11"/>
        <color theme="1"/>
        <rFont val="Calibri"/>
        <family val="2"/>
        <scheme val="minor"/>
      </rPr>
      <t xml:space="preserve"> LATEST "A" day</t>
    </r>
    <r>
      <rPr>
        <sz val="11"/>
        <color theme="1"/>
        <rFont val="Calibri"/>
        <family val="2"/>
        <scheme val="minor"/>
      </rPr>
      <t xml:space="preserve"> (before Date to Schedule) in Fig. 3</t>
    </r>
  </si>
  <si>
    <r>
      <t>2. Enter the</t>
    </r>
    <r>
      <rPr>
        <b/>
        <sz val="11"/>
        <color theme="1"/>
        <rFont val="Calibri"/>
        <family val="2"/>
        <scheme val="minor"/>
      </rPr>
      <t xml:space="preserve"> date for the desired schedule</t>
    </r>
    <r>
      <rPr>
        <sz val="11"/>
        <color theme="1"/>
        <rFont val="Calibri"/>
        <family val="2"/>
        <scheme val="minor"/>
      </rPr>
      <t xml:space="preserve"> in Fig. 3 (or</t>
    </r>
    <r>
      <rPr>
        <b/>
        <sz val="11"/>
        <color theme="1"/>
        <rFont val="Calibri"/>
        <family val="2"/>
        <scheme val="minor"/>
      </rPr>
      <t xml:space="preserve"> Press TODAY in HB for today's date</t>
    </r>
    <r>
      <rPr>
        <sz val="11"/>
        <color theme="1"/>
        <rFont val="Calibri"/>
        <family val="2"/>
        <scheme val="minor"/>
      </rPr>
      <t>)</t>
    </r>
  </si>
  <si>
    <r>
      <t xml:space="preserve">3. Enter </t>
    </r>
    <r>
      <rPr>
        <b/>
        <sz val="11"/>
        <color theme="1"/>
        <rFont val="Calibri"/>
        <family val="2"/>
        <scheme val="minor"/>
      </rPr>
      <t xml:space="preserve">date of a Past "A" Day </t>
    </r>
    <r>
      <rPr>
        <sz val="11"/>
        <color theme="1"/>
        <rFont val="Calibri"/>
        <family val="2"/>
        <scheme val="minor"/>
      </rPr>
      <t xml:space="preserve">of Sem I in Fig. 3 (e.g 8/15/2013) </t>
    </r>
  </si>
  <si>
    <r>
      <t xml:space="preserve">2. All the break / holiday dates from the Calendar have been added, except for wms exam days. </t>
    </r>
    <r>
      <rPr>
        <b/>
        <sz val="11"/>
        <color theme="1"/>
        <rFont val="Calibri"/>
        <family val="2"/>
        <scheme val="minor"/>
      </rPr>
      <t>This Scheduler works only for Semester I.</t>
    </r>
    <r>
      <rPr>
        <sz val="11"/>
        <color theme="1"/>
        <rFont val="Calibri"/>
        <family val="2"/>
        <scheme val="minor"/>
      </rPr>
      <t xml:space="preserve"> See "Sheet2" (below) for the Semester II Scheduler.</t>
    </r>
  </si>
  <si>
    <r>
      <t xml:space="preserve">1. This calculates your schedule on the </t>
    </r>
    <r>
      <rPr>
        <b/>
        <sz val="11"/>
        <color theme="1"/>
        <rFont val="Calibri"/>
        <family val="2"/>
        <scheme val="minor"/>
      </rPr>
      <t>assumption that it is always rolling from the PAD</t>
    </r>
    <r>
      <rPr>
        <sz val="11"/>
        <color theme="1"/>
        <rFont val="Calibri"/>
        <family val="2"/>
        <scheme val="minor"/>
      </rPr>
      <t>, except for weekends and holidays.</t>
    </r>
  </si>
  <si>
    <r>
      <t xml:space="preserve">2. All the break / holiday dates from the Calendar have been added, except for wms exam days. </t>
    </r>
    <r>
      <rPr>
        <b/>
        <sz val="11"/>
        <color theme="1"/>
        <rFont val="Calibri"/>
        <family val="2"/>
        <scheme val="minor"/>
      </rPr>
      <t xml:space="preserve">This Scheduler works only for Semester II. </t>
    </r>
    <r>
      <rPr>
        <sz val="11"/>
        <color theme="1"/>
        <rFont val="Calibri"/>
        <family val="2"/>
        <scheme val="minor"/>
      </rPr>
      <t>See "Sheet1" (below) for the Semester I Scheduler.</t>
    </r>
  </si>
  <si>
    <r>
      <t>1. This calculates your schedule on the</t>
    </r>
    <r>
      <rPr>
        <b/>
        <sz val="11"/>
        <color theme="1"/>
        <rFont val="Calibri"/>
        <family val="2"/>
        <scheme val="minor"/>
      </rPr>
      <t xml:space="preserve"> assumption that it is always rolling from the PAD</t>
    </r>
    <r>
      <rPr>
        <sz val="11"/>
        <color theme="1"/>
        <rFont val="Calibri"/>
        <family val="2"/>
        <scheme val="minor"/>
      </rPr>
      <t>, except for weekends and holidays.</t>
    </r>
  </si>
  <si>
    <t>Fig. 2.1 (Example: 5th Free)</t>
  </si>
  <si>
    <t>Fig. 2.3 (Example: 5th Free AND 7th Lab Frees on B and F days)</t>
  </si>
  <si>
    <r>
      <t xml:space="preserve">2. Fill out Fig. 2 with </t>
    </r>
    <r>
      <rPr>
        <b/>
        <sz val="11"/>
        <color theme="1"/>
        <rFont val="Calibri"/>
        <family val="2"/>
        <scheme val="minor"/>
      </rPr>
      <t>period numbers (1-7) from your rot.</t>
    </r>
    <r>
      <rPr>
        <sz val="11"/>
        <color theme="1"/>
        <rFont val="Calibri"/>
        <family val="2"/>
        <scheme val="minor"/>
      </rPr>
      <t xml:space="preserve"> schedule, </t>
    </r>
    <r>
      <rPr>
        <b/>
        <sz val="11"/>
        <color theme="1"/>
        <rFont val="Calibri"/>
        <family val="2"/>
        <scheme val="minor"/>
      </rPr>
      <t>or press RESET in HB</t>
    </r>
    <r>
      <rPr>
        <sz val="11"/>
        <color theme="1"/>
        <rFont val="Calibri"/>
        <family val="2"/>
        <scheme val="minor"/>
      </rPr>
      <t xml:space="preserve">. Then use </t>
    </r>
    <r>
      <rPr>
        <b/>
        <sz val="11"/>
        <color theme="1"/>
        <rFont val="Calibri"/>
        <family val="2"/>
        <scheme val="minor"/>
      </rPr>
      <t>8 to represent any frees</t>
    </r>
    <r>
      <rPr>
        <sz val="11"/>
        <color theme="1"/>
        <rFont val="Calibri"/>
        <family val="2"/>
        <scheme val="minor"/>
      </rPr>
      <t xml:space="preserve">. Make sure to include lab frees. </t>
    </r>
    <r>
      <rPr>
        <b/>
        <sz val="11"/>
        <color theme="1"/>
        <rFont val="Calibri"/>
        <family val="2"/>
        <scheme val="minor"/>
      </rPr>
      <t>See Fig 2.1 (below Fig. 2) for examples.</t>
    </r>
  </si>
  <si>
    <r>
      <t xml:space="preserve">2. Fill out Fig. 2 with </t>
    </r>
    <r>
      <rPr>
        <b/>
        <sz val="11"/>
        <color theme="1"/>
        <rFont val="Calibri"/>
        <family val="2"/>
        <scheme val="minor"/>
      </rPr>
      <t>period numbers (1-7) from your rot.</t>
    </r>
    <r>
      <rPr>
        <sz val="11"/>
        <color theme="1"/>
        <rFont val="Calibri"/>
        <family val="2"/>
        <scheme val="minor"/>
      </rPr>
      <t xml:space="preserve"> schedule, </t>
    </r>
    <r>
      <rPr>
        <b/>
        <sz val="11"/>
        <color theme="1"/>
        <rFont val="Calibri"/>
        <family val="2"/>
        <scheme val="minor"/>
      </rPr>
      <t>or press RESET in HB</t>
    </r>
    <r>
      <rPr>
        <sz val="11"/>
        <color theme="1"/>
        <rFont val="Calibri"/>
        <family val="2"/>
        <scheme val="minor"/>
      </rPr>
      <t xml:space="preserve">. Then use </t>
    </r>
    <r>
      <rPr>
        <b/>
        <sz val="11"/>
        <color theme="1"/>
        <rFont val="Calibri"/>
        <family val="2"/>
        <scheme val="minor"/>
      </rPr>
      <t>8 to represent any frees</t>
    </r>
    <r>
      <rPr>
        <sz val="11"/>
        <color theme="1"/>
        <rFont val="Calibri"/>
        <family val="2"/>
        <scheme val="minor"/>
      </rPr>
      <t xml:space="preserve">. Make sure to include lab frees. </t>
    </r>
    <r>
      <rPr>
        <b/>
        <sz val="11"/>
        <color theme="1"/>
        <rFont val="Calibri"/>
        <family val="2"/>
        <scheme val="minor"/>
      </rPr>
      <t>See Fig 2.1 thru Fig 2.3 (below Fig. 2) for examples.</t>
    </r>
  </si>
  <si>
    <t>Fig. 2.2 (Example: 7th Lab Frees on B and F days)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</si>
</sst>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0" fillId="0" borderId="0" xfId="0" applyFill="1" applyBorder="1" applyAlignment="1" applyProtection="1">
      <alignment wrapText="1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left" wrapText="1"/>
    </xf>
    <xf numFmtId="0" fontId="0" fillId="6" borderId="1" xfId="0" applyFill="1" applyBorder="1" applyAlignment="1" applyProtection="1">
      <alignment horizontal="left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2" fillId="0" borderId="40" xfId="0" applyFont="1" applyBorder="1" applyAlignment="1" applyProtection="1">
      <alignment horizontal="center"/>
    </xf>
    <xf numFmtId="0" fontId="2" fillId="0" borderId="35" xfId="0" applyFont="1" applyBorder="1" applyAlignment="1" applyProtection="1">
      <alignment horizontal="center"/>
    </xf>
    <xf numFmtId="0" fontId="2" fillId="0" borderId="41" xfId="0" applyFont="1" applyBorder="1" applyAlignment="1" applyProtection="1">
      <alignment horizontal="center"/>
    </xf>
    <xf numFmtId="0" fontId="2" fillId="0" borderId="42" xfId="0" applyFont="1" applyBorder="1" applyAlignment="1" applyProtection="1">
      <alignment horizontal="center"/>
    </xf>
    <xf numFmtId="0" fontId="1" fillId="5" borderId="16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0" fillId="7" borderId="18" xfId="0" applyFill="1" applyBorder="1" applyAlignment="1" applyProtection="1">
      <alignment horizontal="center"/>
    </xf>
    <xf numFmtId="0" fontId="0" fillId="7" borderId="19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7" borderId="8" xfId="0" applyFill="1" applyBorder="1" applyAlignment="1" applyProtection="1">
      <alignment horizontal="center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left" wrapText="1"/>
    </xf>
    <xf numFmtId="0" fontId="0" fillId="4" borderId="34" xfId="0" applyFill="1" applyBorder="1" applyAlignment="1" applyProtection="1">
      <alignment horizontal="left" wrapText="1"/>
    </xf>
    <xf numFmtId="0" fontId="0" fillId="4" borderId="10" xfId="0" applyFill="1" applyBorder="1" applyAlignment="1" applyProtection="1">
      <alignment horizontal="left" wrapText="1"/>
    </xf>
    <xf numFmtId="0" fontId="0" fillId="4" borderId="43" xfId="0" applyFill="1" applyBorder="1" applyAlignment="1" applyProtection="1">
      <alignment horizontal="left" wrapText="1"/>
    </xf>
    <xf numFmtId="0" fontId="0" fillId="4" borderId="39" xfId="0" applyFill="1" applyBorder="1" applyAlignment="1" applyProtection="1">
      <alignment horizontal="left" wrapText="1"/>
    </xf>
    <xf numFmtId="0" fontId="0" fillId="4" borderId="30" xfId="0" applyFill="1" applyBorder="1" applyAlignment="1" applyProtection="1">
      <alignment horizontal="left" wrapText="1"/>
    </xf>
    <xf numFmtId="0" fontId="0" fillId="4" borderId="36" xfId="0" applyFill="1" applyBorder="1" applyAlignment="1" applyProtection="1">
      <alignment horizontal="left" wrapText="1"/>
    </xf>
    <xf numFmtId="0" fontId="0" fillId="4" borderId="37" xfId="0" applyFill="1" applyBorder="1" applyAlignment="1" applyProtection="1">
      <alignment horizontal="left" wrapText="1"/>
    </xf>
    <xf numFmtId="0" fontId="0" fillId="4" borderId="32" xfId="0" applyFill="1" applyBorder="1" applyAlignment="1" applyProtection="1">
      <alignment horizontal="left" wrapText="1"/>
    </xf>
    <xf numFmtId="0" fontId="0" fillId="4" borderId="38" xfId="0" applyFill="1" applyBorder="1" applyAlignment="1" applyProtection="1">
      <alignment horizontal="left" wrapText="1"/>
    </xf>
    <xf numFmtId="0" fontId="0" fillId="4" borderId="18" xfId="0" applyFill="1" applyBorder="1" applyAlignment="1" applyProtection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</xf>
    <xf numFmtId="0" fontId="0" fillId="6" borderId="19" xfId="0" applyFill="1" applyBorder="1" applyAlignment="1" applyProtection="1">
      <alignment horizontal="left" wrapText="1"/>
    </xf>
    <xf numFmtId="0" fontId="0" fillId="4" borderId="44" xfId="0" applyFill="1" applyBorder="1" applyAlignment="1" applyProtection="1">
      <alignment horizontal="left" wrapText="1"/>
    </xf>
    <xf numFmtId="0" fontId="0" fillId="4" borderId="45" xfId="0" applyFill="1" applyBorder="1" applyAlignment="1" applyProtection="1">
      <alignment horizontal="left" wrapText="1"/>
    </xf>
    <xf numFmtId="0" fontId="0" fillId="4" borderId="0" xfId="0" applyFill="1" applyBorder="1" applyAlignment="1" applyProtection="1">
      <alignment horizontal="left" wrapText="1"/>
    </xf>
    <xf numFmtId="0" fontId="0" fillId="4" borderId="46" xfId="0" applyFill="1" applyBorder="1" applyAlignment="1" applyProtection="1">
      <alignment horizontal="left" wrapText="1"/>
    </xf>
    <xf numFmtId="0" fontId="0" fillId="4" borderId="47" xfId="0" applyFill="1" applyBorder="1" applyAlignment="1" applyProtection="1">
      <alignment horizontal="left" wrapText="1"/>
    </xf>
    <xf numFmtId="0" fontId="0" fillId="4" borderId="33" xfId="0" applyFill="1" applyBorder="1" applyAlignment="1" applyProtection="1">
      <alignment horizontal="left" wrapText="1"/>
    </xf>
    <xf numFmtId="0" fontId="0" fillId="4" borderId="11" xfId="0" applyFill="1" applyBorder="1" applyAlignment="1" applyProtection="1">
      <alignment horizontal="left" wrapText="1"/>
    </xf>
    <xf numFmtId="0" fontId="0" fillId="8" borderId="1" xfId="0" applyFill="1" applyBorder="1" applyAlignment="1" applyProtection="1">
      <alignment horizontal="center"/>
    </xf>
    <xf numFmtId="0" fontId="0" fillId="8" borderId="19" xfId="0" applyFill="1" applyBorder="1" applyAlignment="1" applyProtection="1">
      <alignment horizontal="center"/>
    </xf>
    <xf numFmtId="0" fontId="0" fillId="8" borderId="7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164" fontId="0" fillId="8" borderId="1" xfId="0" applyNumberFormat="1" applyFill="1" applyBorder="1" applyAlignment="1" applyProtection="1">
      <alignment horizontal="center"/>
    </xf>
    <xf numFmtId="164" fontId="0" fillId="8" borderId="19" xfId="0" applyNumberFormat="1" applyFill="1" applyBorder="1" applyAlignment="1" applyProtection="1">
      <alignment horizontal="center"/>
    </xf>
    <xf numFmtId="164" fontId="0" fillId="8" borderId="7" xfId="0" applyNumberFormat="1" applyFill="1" applyBorder="1" applyAlignment="1" applyProtection="1">
      <alignment horizontal="center"/>
    </xf>
    <xf numFmtId="164" fontId="0" fillId="8" borderId="8" xfId="0" applyNumberFormat="1" applyFill="1" applyBorder="1" applyAlignment="1" applyProtection="1">
      <alignment horizontal="center"/>
    </xf>
    <xf numFmtId="0" fontId="0" fillId="4" borderId="48" xfId="0" applyFill="1" applyBorder="1" applyAlignment="1" applyProtection="1">
      <alignment horizontal="left" wrapText="1"/>
    </xf>
    <xf numFmtId="0" fontId="0" fillId="6" borderId="49" xfId="0" applyFill="1" applyBorder="1" applyAlignment="1" applyProtection="1">
      <alignment horizontal="left" wrapText="1"/>
    </xf>
    <xf numFmtId="0" fontId="0" fillId="6" borderId="50" xfId="0" applyFill="1" applyBorder="1" applyAlignment="1" applyProtection="1">
      <alignment horizontal="left" wrapText="1"/>
    </xf>
    <xf numFmtId="0" fontId="0" fillId="6" borderId="42" xfId="0" applyFill="1" applyBorder="1" applyAlignment="1" applyProtection="1">
      <alignment horizontal="left" wrapText="1"/>
    </xf>
    <xf numFmtId="0" fontId="0" fillId="4" borderId="1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</xf>
    <xf numFmtId="0" fontId="1" fillId="6" borderId="21" xfId="0" applyFont="1" applyFill="1" applyBorder="1" applyAlignment="1" applyProtection="1">
      <alignment horizontal="center"/>
    </xf>
    <xf numFmtId="0" fontId="1" fillId="6" borderId="3" xfId="0" applyFont="1" applyFill="1" applyBorder="1" applyAlignment="1" applyProtection="1">
      <alignment horizontal="center"/>
    </xf>
    <xf numFmtId="0" fontId="1" fillId="6" borderId="22" xfId="0" applyFont="1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/>
    </xf>
    <xf numFmtId="0" fontId="1" fillId="9" borderId="1" xfId="0" applyFont="1" applyFill="1" applyBorder="1" applyAlignment="1" applyProtection="1">
      <alignment horizontal="center"/>
    </xf>
    <xf numFmtId="0" fontId="1" fillId="9" borderId="7" xfId="0" applyFont="1" applyFill="1" applyBorder="1" applyAlignment="1" applyProtection="1">
      <alignment horizontal="center"/>
    </xf>
    <xf numFmtId="0" fontId="1" fillId="9" borderId="19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2.85546875" style="9" customWidth="1"/>
    <col min="21" max="21" width="8.85546875" style="9" customWidth="1"/>
    <col min="22" max="28" width="10.7109375" style="9" customWidth="1"/>
    <col min="29" max="16384" width="9.140625" style="9"/>
  </cols>
  <sheetData>
    <row r="1" spans="2:20" ht="15.75" thickBot="1"/>
    <row r="2" spans="2:20" ht="15.75" thickBot="1">
      <c r="B2" s="70" t="s">
        <v>32</v>
      </c>
      <c r="C2" s="71"/>
      <c r="E2" s="80" t="s">
        <v>29</v>
      </c>
      <c r="F2" s="81"/>
      <c r="G2" s="81"/>
      <c r="H2" s="81"/>
      <c r="I2" s="81"/>
      <c r="J2" s="81"/>
      <c r="K2" s="81"/>
      <c r="L2" s="82"/>
      <c r="N2" s="63" t="s">
        <v>31</v>
      </c>
      <c r="O2" s="64"/>
      <c r="P2" s="64"/>
      <c r="Q2" s="64"/>
      <c r="R2" s="64"/>
      <c r="S2" s="65"/>
      <c r="T2" s="61"/>
    </row>
    <row r="3" spans="2:20" ht="15.75" customHeight="1" thickBot="1">
      <c r="B3" s="72" t="s">
        <v>21</v>
      </c>
      <c r="C3" s="73"/>
      <c r="E3" s="83" t="s">
        <v>27</v>
      </c>
      <c r="F3" s="84"/>
      <c r="G3" s="84"/>
      <c r="H3" s="84"/>
      <c r="I3" s="84"/>
      <c r="J3" s="84" t="s">
        <v>28</v>
      </c>
      <c r="K3" s="84"/>
      <c r="L3" s="85"/>
      <c r="N3" s="86" t="s">
        <v>79</v>
      </c>
      <c r="O3" s="87"/>
      <c r="P3" s="87"/>
      <c r="Q3" s="87"/>
      <c r="R3" s="87"/>
      <c r="S3" s="88"/>
      <c r="T3" s="62"/>
    </row>
    <row r="4" spans="2:20" ht="15" customHeight="1" thickBot="1">
      <c r="E4" s="66" t="s">
        <v>73</v>
      </c>
      <c r="F4" s="67"/>
      <c r="G4" s="67"/>
      <c r="H4" s="67"/>
      <c r="I4" s="67"/>
      <c r="J4" s="92" t="s">
        <v>68</v>
      </c>
      <c r="K4" s="93"/>
      <c r="L4" s="94"/>
      <c r="N4" s="89"/>
      <c r="O4" s="90"/>
      <c r="P4" s="90"/>
      <c r="Q4" s="90"/>
      <c r="R4" s="90"/>
      <c r="S4" s="91"/>
      <c r="T4" s="62"/>
    </row>
    <row r="5" spans="2:20" ht="15" customHeight="1">
      <c r="B5" s="74" t="s">
        <v>72</v>
      </c>
      <c r="C5" s="75"/>
      <c r="E5" s="96" t="s">
        <v>85</v>
      </c>
      <c r="F5" s="97"/>
      <c r="G5" s="97"/>
      <c r="H5" s="97"/>
      <c r="I5" s="97"/>
      <c r="J5" s="95"/>
      <c r="K5" s="90"/>
      <c r="L5" s="91"/>
      <c r="N5" s="99" t="s">
        <v>78</v>
      </c>
      <c r="O5" s="93"/>
      <c r="P5" s="93"/>
      <c r="Q5" s="93"/>
      <c r="R5" s="93"/>
      <c r="S5" s="94"/>
      <c r="T5" s="62"/>
    </row>
    <row r="6" spans="2:20" ht="15" customHeight="1">
      <c r="B6" s="76"/>
      <c r="C6" s="77"/>
      <c r="E6" s="96"/>
      <c r="F6" s="97"/>
      <c r="G6" s="97"/>
      <c r="H6" s="97"/>
      <c r="I6" s="97"/>
      <c r="J6" s="67" t="s">
        <v>75</v>
      </c>
      <c r="K6" s="67"/>
      <c r="L6" s="98"/>
      <c r="N6" s="100"/>
      <c r="O6" s="101"/>
      <c r="P6" s="101"/>
      <c r="Q6" s="101"/>
      <c r="R6" s="101"/>
      <c r="S6" s="102"/>
      <c r="T6" s="62"/>
    </row>
    <row r="7" spans="2:20" ht="15.75" thickBot="1">
      <c r="B7" s="78"/>
      <c r="C7" s="79"/>
      <c r="E7" s="96"/>
      <c r="F7" s="97"/>
      <c r="G7" s="97"/>
      <c r="H7" s="97"/>
      <c r="I7" s="97"/>
      <c r="J7" s="67"/>
      <c r="K7" s="67"/>
      <c r="L7" s="98"/>
      <c r="N7" s="103"/>
      <c r="O7" s="104"/>
      <c r="P7" s="104"/>
      <c r="Q7" s="104"/>
      <c r="R7" s="104"/>
      <c r="S7" s="105"/>
      <c r="T7" s="62"/>
    </row>
    <row r="8" spans="2:20" ht="15.75" customHeight="1" thickBot="1">
      <c r="E8" s="96"/>
      <c r="F8" s="97"/>
      <c r="G8" s="97"/>
      <c r="H8" s="97"/>
      <c r="I8" s="97"/>
      <c r="J8" s="92" t="s">
        <v>76</v>
      </c>
      <c r="K8" s="93"/>
      <c r="L8" s="94"/>
    </row>
    <row r="9" spans="2:20" ht="15.75" customHeight="1" thickBot="1">
      <c r="B9" s="63" t="s">
        <v>22</v>
      </c>
      <c r="C9" s="65"/>
      <c r="E9" s="66" t="s">
        <v>77</v>
      </c>
      <c r="F9" s="67"/>
      <c r="G9" s="67"/>
      <c r="H9" s="67"/>
      <c r="I9" s="67"/>
      <c r="J9" s="114"/>
      <c r="K9" s="101"/>
      <c r="L9" s="102"/>
      <c r="N9" s="11" t="s">
        <v>24</v>
      </c>
      <c r="P9" s="63" t="s">
        <v>26</v>
      </c>
      <c r="Q9" s="64"/>
      <c r="R9" s="64"/>
      <c r="S9" s="65"/>
    </row>
    <row r="10" spans="2:20" ht="15.75" customHeight="1" thickBot="1">
      <c r="B10" s="13" t="s">
        <v>2</v>
      </c>
      <c r="C10" s="33" t="s">
        <v>3</v>
      </c>
      <c r="E10" s="66"/>
      <c r="F10" s="67"/>
      <c r="G10" s="67"/>
      <c r="H10" s="67"/>
      <c r="I10" s="67"/>
      <c r="J10" s="95"/>
      <c r="K10" s="90"/>
      <c r="L10" s="91"/>
      <c r="N10" s="24" t="s">
        <v>11</v>
      </c>
      <c r="P10" s="42" t="str">
        <f>INDEX(F15:L15, 1, Q10)</f>
        <v>G</v>
      </c>
      <c r="Q10" s="50">
        <f>MOD(N17, 7)+1</f>
        <v>7</v>
      </c>
      <c r="R10" s="51" t="str">
        <f>CHOOSE(N19, "Sunday", "Monday", "Tuesday", "Wednesday", "Thursday", "Friday", "Saturday")</f>
        <v>Friday</v>
      </c>
      <c r="S10" s="52">
        <f>N14</f>
        <v>41509</v>
      </c>
    </row>
    <row r="11" spans="2:20" ht="15.75" customHeight="1" thickBot="1">
      <c r="B11" s="16">
        <v>0</v>
      </c>
      <c r="C11" s="34" t="s">
        <v>69</v>
      </c>
      <c r="E11" s="68" t="s">
        <v>70</v>
      </c>
      <c r="F11" s="69"/>
      <c r="G11" s="69"/>
      <c r="H11" s="69"/>
      <c r="I11" s="69"/>
      <c r="J11" s="115" t="s">
        <v>71</v>
      </c>
      <c r="K11" s="116"/>
      <c r="L11" s="117"/>
      <c r="N11" s="2">
        <v>41501</v>
      </c>
      <c r="P11" s="43" t="s">
        <v>1</v>
      </c>
      <c r="Q11" s="44" t="s">
        <v>2</v>
      </c>
      <c r="R11" s="53" t="s">
        <v>4</v>
      </c>
      <c r="S11" s="54" t="s">
        <v>67</v>
      </c>
    </row>
    <row r="12" spans="2:20">
      <c r="B12" s="16">
        <v>1</v>
      </c>
      <c r="C12" s="35" t="s">
        <v>6</v>
      </c>
      <c r="E12" s="32"/>
      <c r="N12" s="25" t="s">
        <v>30</v>
      </c>
      <c r="P12" s="19">
        <v>0.5</v>
      </c>
      <c r="Q12" s="45">
        <f>INDEX(F44:L47, 1, N19)</f>
        <v>9</v>
      </c>
      <c r="R12" s="55" t="str">
        <f>INDEX(C11:C26, Q12+1, 1)</f>
        <v>Office Hours</v>
      </c>
      <c r="S12" s="56" t="str">
        <f>INDEX(F51:L54, 1, N19)</f>
        <v>8:00-8:30</v>
      </c>
    </row>
    <row r="13" spans="2:20" ht="15.75" thickBot="1">
      <c r="B13" s="16">
        <f>B12+1</f>
        <v>2</v>
      </c>
      <c r="C13" s="35" t="s">
        <v>5</v>
      </c>
      <c r="E13" s="9"/>
      <c r="N13" s="26"/>
      <c r="P13" s="46">
        <v>1</v>
      </c>
      <c r="Q13" s="47">
        <f>INDEX(F16:L19,P13, Q10)</f>
        <v>4</v>
      </c>
      <c r="R13" s="57" t="str">
        <f>INDEX(C12:C19, Q13, 1)</f>
        <v>Bible</v>
      </c>
      <c r="S13" s="58" t="str">
        <f>INDEX(F55:L58, P13, N19)</f>
        <v>8:30-9:40</v>
      </c>
    </row>
    <row r="14" spans="2:20" ht="15.75" customHeight="1" thickBot="1">
      <c r="B14" s="16">
        <f t="shared" ref="B14:B26" si="0">B13+1</f>
        <v>3</v>
      </c>
      <c r="C14" s="35" t="s">
        <v>7</v>
      </c>
      <c r="E14" s="63" t="s">
        <v>23</v>
      </c>
      <c r="F14" s="64"/>
      <c r="G14" s="64"/>
      <c r="H14" s="64"/>
      <c r="I14" s="64"/>
      <c r="J14" s="64"/>
      <c r="K14" s="64"/>
      <c r="L14" s="65"/>
      <c r="N14" s="27">
        <v>41509</v>
      </c>
      <c r="P14" s="19">
        <v>1.5</v>
      </c>
      <c r="Q14" s="48">
        <f>INDEX(F44:L47, 2, N19)</f>
        <v>12</v>
      </c>
      <c r="R14" s="55" t="str">
        <f>INDEX(C11:C26, Q14+1, 1)</f>
        <v>ADV</v>
      </c>
      <c r="S14" s="56" t="str">
        <f>INDEX(F51:L54, 2, N19)</f>
        <v>9:40-9:55</v>
      </c>
    </row>
    <row r="15" spans="2:20">
      <c r="B15" s="16">
        <f t="shared" si="0"/>
        <v>4</v>
      </c>
      <c r="C15" s="35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46">
        <v>2</v>
      </c>
      <c r="Q15" s="47">
        <f>INDEX(F16:L19,P15, Q10)</f>
        <v>5</v>
      </c>
      <c r="R15" s="57" t="str">
        <f>INDEX(C12:C19, Q15, 1)</f>
        <v>English</v>
      </c>
      <c r="S15" s="58" t="str">
        <f>INDEX(F55:L58, P15, N19)</f>
        <v>9:55-11:05</v>
      </c>
    </row>
    <row r="16" spans="2:20" ht="15" customHeight="1">
      <c r="B16" s="16">
        <f t="shared" si="0"/>
        <v>5</v>
      </c>
      <c r="C16" s="35" t="s">
        <v>9</v>
      </c>
      <c r="E16" s="16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1" t="s">
        <v>12</v>
      </c>
      <c r="P16" s="46">
        <v>3</v>
      </c>
      <c r="Q16" s="47">
        <f>INDEX(F16:L19,P17,Q10)</f>
        <v>6</v>
      </c>
      <c r="R16" s="57" t="str">
        <f>INDEX(C12:C19, Q16, 1)</f>
        <v>Orchestra</v>
      </c>
      <c r="S16" s="58" t="str">
        <f>INDEX(F55:L58, P16, N19)</f>
        <v>11:05-1:10</v>
      </c>
    </row>
    <row r="17" spans="2:19" ht="15.75" thickBot="1">
      <c r="B17" s="16">
        <f t="shared" si="0"/>
        <v>6</v>
      </c>
      <c r="C17" s="35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18">
        <f>MAX(NETWORKDAYS(N11, N14,N23:N124)-1, 0)</f>
        <v>6</v>
      </c>
      <c r="P17" s="19">
        <v>3.5</v>
      </c>
      <c r="Q17" s="48">
        <f>INDEX(F44:L47, 3, N19)</f>
        <v>10</v>
      </c>
      <c r="R17" s="55" t="str">
        <f>INDEX(C11:C26, Q17+1, 1)</f>
        <v>Break</v>
      </c>
      <c r="S17" s="56" t="str">
        <f>INDEX(F51:L54, 3, N19)</f>
        <v>1:10-1:20</v>
      </c>
    </row>
    <row r="18" spans="2:19">
      <c r="B18" s="16">
        <f t="shared" si="0"/>
        <v>7</v>
      </c>
      <c r="C18" s="35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1" t="s">
        <v>34</v>
      </c>
      <c r="P18" s="46">
        <v>4</v>
      </c>
      <c r="Q18" s="47">
        <f>INDEX(F16:L19,P18, Q10)</f>
        <v>7</v>
      </c>
      <c r="R18" s="57" t="str">
        <f>INDEX(C12:C19, Q18, 1)</f>
        <v>Physics</v>
      </c>
      <c r="S18" s="58" t="str">
        <f>INDEX(F55:L58, P18, N19)</f>
        <v>1:20-2:30</v>
      </c>
    </row>
    <row r="19" spans="2:19" ht="15.75" thickBot="1">
      <c r="B19" s="16">
        <f t="shared" si="0"/>
        <v>8</v>
      </c>
      <c r="C19" s="36" t="s">
        <v>15</v>
      </c>
      <c r="E19" s="17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6</v>
      </c>
      <c r="P19" s="20">
        <v>4.5</v>
      </c>
      <c r="Q19" s="49">
        <f>INDEX(F44:L47, 4, N19)</f>
        <v>0</v>
      </c>
      <c r="R19" s="59" t="str">
        <f>INDEX(C11:C26, Q19+1, 1)</f>
        <v>Weekend</v>
      </c>
      <c r="S19" s="60">
        <f>INDEX(F51:L54, 4, N19)</f>
        <v>0</v>
      </c>
    </row>
    <row r="20" spans="2:19" ht="15.75" thickBot="1">
      <c r="B20" s="16">
        <f t="shared" si="0"/>
        <v>9</v>
      </c>
      <c r="C20" s="37" t="s">
        <v>35</v>
      </c>
      <c r="G20" s="29"/>
      <c r="P20" s="22"/>
      <c r="R20" s="23"/>
    </row>
    <row r="21" spans="2:19" ht="15.75" thickBot="1">
      <c r="B21" s="16">
        <f t="shared" si="0"/>
        <v>10</v>
      </c>
      <c r="C21" s="37" t="s">
        <v>36</v>
      </c>
      <c r="E21" s="63" t="s">
        <v>82</v>
      </c>
      <c r="F21" s="64"/>
      <c r="G21" s="64"/>
      <c r="H21" s="64"/>
      <c r="I21" s="64"/>
      <c r="J21" s="64"/>
      <c r="K21" s="64"/>
      <c r="L21" s="65"/>
      <c r="N21" s="10" t="s">
        <v>25</v>
      </c>
      <c r="P21" s="22"/>
      <c r="R21" s="23"/>
    </row>
    <row r="22" spans="2:19">
      <c r="B22" s="16">
        <f t="shared" si="0"/>
        <v>11</v>
      </c>
      <c r="C22" s="37" t="s">
        <v>37</v>
      </c>
      <c r="E22" s="122" t="s">
        <v>1</v>
      </c>
      <c r="F22" s="123" t="s">
        <v>16</v>
      </c>
      <c r="G22" s="123" t="s">
        <v>13</v>
      </c>
      <c r="H22" s="123" t="s">
        <v>17</v>
      </c>
      <c r="I22" s="123" t="s">
        <v>18</v>
      </c>
      <c r="J22" s="123" t="s">
        <v>19</v>
      </c>
      <c r="K22" s="123" t="s">
        <v>14</v>
      </c>
      <c r="L22" s="124" t="s">
        <v>20</v>
      </c>
      <c r="N22" s="12" t="s">
        <v>0</v>
      </c>
    </row>
    <row r="23" spans="2:19">
      <c r="B23" s="16">
        <f t="shared" si="0"/>
        <v>12</v>
      </c>
      <c r="C23" s="37" t="s">
        <v>38</v>
      </c>
      <c r="E23" s="46">
        <v>1</v>
      </c>
      <c r="F23" s="118">
        <v>1</v>
      </c>
      <c r="G23" s="126">
        <v>8</v>
      </c>
      <c r="H23" s="118">
        <v>2</v>
      </c>
      <c r="I23" s="118">
        <v>6</v>
      </c>
      <c r="J23" s="118">
        <v>3</v>
      </c>
      <c r="K23" s="118">
        <v>7</v>
      </c>
      <c r="L23" s="119">
        <v>4</v>
      </c>
      <c r="N23" s="7">
        <v>41459</v>
      </c>
    </row>
    <row r="24" spans="2:19">
      <c r="B24" s="16">
        <f t="shared" si="0"/>
        <v>13</v>
      </c>
      <c r="C24" s="37" t="s">
        <v>39</v>
      </c>
      <c r="E24" s="46">
        <v>2</v>
      </c>
      <c r="F24" s="118">
        <v>2</v>
      </c>
      <c r="G24" s="118">
        <v>6</v>
      </c>
      <c r="H24" s="118">
        <v>3</v>
      </c>
      <c r="I24" s="118">
        <v>7</v>
      </c>
      <c r="J24" s="118">
        <v>4</v>
      </c>
      <c r="K24" s="118">
        <v>1</v>
      </c>
      <c r="L24" s="128">
        <v>8</v>
      </c>
      <c r="N24" s="7">
        <v>41519</v>
      </c>
    </row>
    <row r="25" spans="2:19">
      <c r="B25" s="16">
        <f t="shared" si="0"/>
        <v>14</v>
      </c>
      <c r="C25" s="37" t="s">
        <v>40</v>
      </c>
      <c r="E25" s="46">
        <v>3</v>
      </c>
      <c r="F25" s="118">
        <v>3</v>
      </c>
      <c r="G25" s="118">
        <v>7</v>
      </c>
      <c r="H25" s="118">
        <v>4</v>
      </c>
      <c r="I25" s="118">
        <v>1</v>
      </c>
      <c r="J25" s="126">
        <v>8</v>
      </c>
      <c r="K25" s="118">
        <v>2</v>
      </c>
      <c r="L25" s="119">
        <v>6</v>
      </c>
      <c r="N25" s="7">
        <v>41561</v>
      </c>
    </row>
    <row r="26" spans="2:19" ht="15.75" thickBot="1">
      <c r="B26" s="17">
        <f t="shared" si="0"/>
        <v>15</v>
      </c>
      <c r="C26" s="38" t="s">
        <v>41</v>
      </c>
      <c r="E26" s="125">
        <v>4</v>
      </c>
      <c r="F26" s="120">
        <v>4</v>
      </c>
      <c r="G26" s="120">
        <v>1</v>
      </c>
      <c r="H26" s="127">
        <v>8</v>
      </c>
      <c r="I26" s="120">
        <v>2</v>
      </c>
      <c r="J26" s="120">
        <v>6</v>
      </c>
      <c r="K26" s="120">
        <v>3</v>
      </c>
      <c r="L26" s="121">
        <v>7</v>
      </c>
      <c r="N26" s="7">
        <v>41563</v>
      </c>
    </row>
    <row r="27" spans="2:19" ht="15.75" thickBot="1">
      <c r="N27" s="7">
        <v>41565</v>
      </c>
    </row>
    <row r="28" spans="2:19" ht="15.75" thickBot="1">
      <c r="E28" s="63" t="s">
        <v>86</v>
      </c>
      <c r="F28" s="64"/>
      <c r="G28" s="64"/>
      <c r="H28" s="64"/>
      <c r="I28" s="64"/>
      <c r="J28" s="64"/>
      <c r="K28" s="64"/>
      <c r="L28" s="65"/>
      <c r="N28" s="7">
        <v>41575</v>
      </c>
    </row>
    <row r="29" spans="2:19">
      <c r="E29" s="122" t="s">
        <v>1</v>
      </c>
      <c r="F29" s="123" t="s">
        <v>16</v>
      </c>
      <c r="G29" s="123" t="s">
        <v>13</v>
      </c>
      <c r="H29" s="123" t="s">
        <v>17</v>
      </c>
      <c r="I29" s="123" t="s">
        <v>18</v>
      </c>
      <c r="J29" s="123" t="s">
        <v>19</v>
      </c>
      <c r="K29" s="123" t="s">
        <v>14</v>
      </c>
      <c r="L29" s="124" t="s">
        <v>20</v>
      </c>
      <c r="N29" s="7">
        <v>41603</v>
      </c>
    </row>
    <row r="30" spans="2:19">
      <c r="E30" s="46">
        <v>1</v>
      </c>
      <c r="F30" s="118">
        <v>1</v>
      </c>
      <c r="G30" s="118">
        <v>5</v>
      </c>
      <c r="H30" s="118">
        <v>2</v>
      </c>
      <c r="I30" s="118">
        <v>6</v>
      </c>
      <c r="J30" s="118">
        <v>3</v>
      </c>
      <c r="K30" s="126">
        <v>8</v>
      </c>
      <c r="L30" s="119">
        <v>4</v>
      </c>
      <c r="N30" s="7">
        <v>41604</v>
      </c>
    </row>
    <row r="31" spans="2:19">
      <c r="E31" s="46">
        <v>2</v>
      </c>
      <c r="F31" s="118">
        <v>2</v>
      </c>
      <c r="G31" s="118">
        <v>6</v>
      </c>
      <c r="H31" s="118">
        <v>3</v>
      </c>
      <c r="I31" s="118">
        <v>7</v>
      </c>
      <c r="J31" s="118">
        <v>4</v>
      </c>
      <c r="K31" s="118">
        <v>1</v>
      </c>
      <c r="L31" s="119">
        <v>5</v>
      </c>
      <c r="N31" s="7">
        <v>41605</v>
      </c>
    </row>
    <row r="32" spans="2:19">
      <c r="E32" s="46">
        <v>3</v>
      </c>
      <c r="F32" s="118">
        <v>3</v>
      </c>
      <c r="G32" s="126">
        <v>8</v>
      </c>
      <c r="H32" s="118">
        <v>4</v>
      </c>
      <c r="I32" s="118">
        <v>1</v>
      </c>
      <c r="J32" s="118">
        <v>5</v>
      </c>
      <c r="K32" s="118">
        <v>2</v>
      </c>
      <c r="L32" s="119">
        <v>6</v>
      </c>
      <c r="N32" s="7">
        <v>41606</v>
      </c>
    </row>
    <row r="33" spans="5:14" ht="15.75" thickBot="1">
      <c r="E33" s="125">
        <v>4</v>
      </c>
      <c r="F33" s="120">
        <v>4</v>
      </c>
      <c r="G33" s="120">
        <v>1</v>
      </c>
      <c r="H33" s="120">
        <v>5</v>
      </c>
      <c r="I33" s="120">
        <v>2</v>
      </c>
      <c r="J33" s="120">
        <v>6</v>
      </c>
      <c r="K33" s="120">
        <v>3</v>
      </c>
      <c r="L33" s="121">
        <v>7</v>
      </c>
      <c r="N33" s="7">
        <v>41607</v>
      </c>
    </row>
    <row r="34" spans="5:14" ht="15.75" thickBot="1">
      <c r="N34" s="7"/>
    </row>
    <row r="35" spans="5:14" ht="15.75" thickBot="1">
      <c r="E35" s="63" t="s">
        <v>83</v>
      </c>
      <c r="F35" s="64"/>
      <c r="G35" s="64"/>
      <c r="H35" s="64"/>
      <c r="I35" s="64"/>
      <c r="J35" s="64"/>
      <c r="K35" s="64"/>
      <c r="L35" s="65"/>
      <c r="N35" s="7"/>
    </row>
    <row r="36" spans="5:14">
      <c r="E36" s="122" t="s">
        <v>1</v>
      </c>
      <c r="F36" s="123" t="s">
        <v>16</v>
      </c>
      <c r="G36" s="123" t="s">
        <v>13</v>
      </c>
      <c r="H36" s="123" t="s">
        <v>17</v>
      </c>
      <c r="I36" s="123" t="s">
        <v>18</v>
      </c>
      <c r="J36" s="123" t="s">
        <v>19</v>
      </c>
      <c r="K36" s="123" t="s">
        <v>14</v>
      </c>
      <c r="L36" s="124" t="s">
        <v>20</v>
      </c>
      <c r="N36" s="7"/>
    </row>
    <row r="37" spans="5:14">
      <c r="E37" s="46">
        <v>1</v>
      </c>
      <c r="F37" s="118">
        <v>1</v>
      </c>
      <c r="G37" s="126">
        <v>8</v>
      </c>
      <c r="H37" s="118">
        <v>2</v>
      </c>
      <c r="I37" s="118">
        <v>6</v>
      </c>
      <c r="J37" s="118">
        <v>3</v>
      </c>
      <c r="K37" s="126">
        <v>8</v>
      </c>
      <c r="L37" s="119">
        <v>4</v>
      </c>
      <c r="N37" s="7"/>
    </row>
    <row r="38" spans="5:14">
      <c r="E38" s="46">
        <v>2</v>
      </c>
      <c r="F38" s="118">
        <v>2</v>
      </c>
      <c r="G38" s="118">
        <v>6</v>
      </c>
      <c r="H38" s="118">
        <v>3</v>
      </c>
      <c r="I38" s="118">
        <v>7</v>
      </c>
      <c r="J38" s="118">
        <v>4</v>
      </c>
      <c r="K38" s="118">
        <v>1</v>
      </c>
      <c r="L38" s="128">
        <v>8</v>
      </c>
      <c r="N38" s="7"/>
    </row>
    <row r="39" spans="5:14">
      <c r="E39" s="46">
        <v>3</v>
      </c>
      <c r="F39" s="118">
        <v>3</v>
      </c>
      <c r="G39" s="126">
        <v>8</v>
      </c>
      <c r="H39" s="118">
        <v>4</v>
      </c>
      <c r="I39" s="118">
        <v>1</v>
      </c>
      <c r="J39" s="126">
        <v>8</v>
      </c>
      <c r="K39" s="118">
        <v>2</v>
      </c>
      <c r="L39" s="119">
        <v>6</v>
      </c>
      <c r="N39" s="7"/>
    </row>
    <row r="40" spans="5:14" ht="15.75" thickBot="1">
      <c r="E40" s="125">
        <v>4</v>
      </c>
      <c r="F40" s="120">
        <v>4</v>
      </c>
      <c r="G40" s="120">
        <v>1</v>
      </c>
      <c r="H40" s="127">
        <v>8</v>
      </c>
      <c r="I40" s="120">
        <v>2</v>
      </c>
      <c r="J40" s="120">
        <v>6</v>
      </c>
      <c r="K40" s="120">
        <v>3</v>
      </c>
      <c r="L40" s="121">
        <v>7</v>
      </c>
      <c r="N40" s="7"/>
    </row>
    <row r="41" spans="5:14" ht="15.75" thickBot="1">
      <c r="N41" s="7"/>
    </row>
    <row r="42" spans="5:14" ht="15.75" thickBot="1">
      <c r="E42" s="63" t="s">
        <v>42</v>
      </c>
      <c r="F42" s="64"/>
      <c r="G42" s="64"/>
      <c r="H42" s="64"/>
      <c r="I42" s="64"/>
      <c r="J42" s="64"/>
      <c r="K42" s="64"/>
      <c r="L42" s="65"/>
      <c r="N42" s="7"/>
    </row>
    <row r="43" spans="5:14">
      <c r="E43" s="13" t="s">
        <v>1</v>
      </c>
      <c r="F43" s="39" t="s">
        <v>43</v>
      </c>
      <c r="G43" s="39" t="s">
        <v>44</v>
      </c>
      <c r="H43" s="39" t="s">
        <v>45</v>
      </c>
      <c r="I43" s="39" t="s">
        <v>46</v>
      </c>
      <c r="J43" s="39" t="s">
        <v>47</v>
      </c>
      <c r="K43" s="39" t="s">
        <v>14</v>
      </c>
      <c r="L43" s="30" t="s">
        <v>43</v>
      </c>
      <c r="N43" s="7"/>
    </row>
    <row r="44" spans="5:14">
      <c r="E44" s="40">
        <v>0.5</v>
      </c>
      <c r="F44" s="106">
        <v>0</v>
      </c>
      <c r="G44" s="106">
        <v>9</v>
      </c>
      <c r="H44" s="106">
        <v>13</v>
      </c>
      <c r="I44" s="106">
        <v>14</v>
      </c>
      <c r="J44" s="106">
        <v>13</v>
      </c>
      <c r="K44" s="106">
        <v>9</v>
      </c>
      <c r="L44" s="107">
        <v>0</v>
      </c>
      <c r="N44" s="7"/>
    </row>
    <row r="45" spans="5:14">
      <c r="E45" s="40">
        <v>1.5</v>
      </c>
      <c r="F45" s="106">
        <v>0</v>
      </c>
      <c r="G45" s="106">
        <v>10</v>
      </c>
      <c r="H45" s="106">
        <v>10</v>
      </c>
      <c r="I45" s="106">
        <v>10</v>
      </c>
      <c r="J45" s="106">
        <v>11</v>
      </c>
      <c r="K45" s="106">
        <v>12</v>
      </c>
      <c r="L45" s="107">
        <v>0</v>
      </c>
      <c r="N45" s="7"/>
    </row>
    <row r="46" spans="5:14">
      <c r="E46" s="40">
        <v>3.5</v>
      </c>
      <c r="F46" s="106">
        <v>0</v>
      </c>
      <c r="G46" s="106">
        <v>15</v>
      </c>
      <c r="H46" s="106">
        <v>15</v>
      </c>
      <c r="I46" s="106">
        <v>10</v>
      </c>
      <c r="J46" s="106">
        <v>10</v>
      </c>
      <c r="K46" s="106">
        <v>10</v>
      </c>
      <c r="L46" s="107">
        <v>0</v>
      </c>
      <c r="N46" s="7"/>
    </row>
    <row r="47" spans="5:14" ht="15.75" thickBot="1">
      <c r="E47" s="41">
        <v>4.5</v>
      </c>
      <c r="F47" s="108">
        <v>0</v>
      </c>
      <c r="G47" s="108">
        <v>9</v>
      </c>
      <c r="H47" s="108">
        <v>9</v>
      </c>
      <c r="I47" s="108">
        <v>9</v>
      </c>
      <c r="J47" s="108">
        <v>9</v>
      </c>
      <c r="K47" s="108">
        <v>0</v>
      </c>
      <c r="L47" s="109">
        <v>0</v>
      </c>
      <c r="N47" s="7"/>
    </row>
    <row r="48" spans="5:14" ht="15.75" thickBot="1">
      <c r="N48" s="7"/>
    </row>
    <row r="49" spans="5:14" ht="15.75" thickBot="1">
      <c r="E49" s="63" t="s">
        <v>48</v>
      </c>
      <c r="F49" s="64"/>
      <c r="G49" s="64"/>
      <c r="H49" s="64"/>
      <c r="I49" s="64"/>
      <c r="J49" s="64"/>
      <c r="K49" s="64"/>
      <c r="L49" s="65"/>
      <c r="N49" s="7"/>
    </row>
    <row r="50" spans="5:14">
      <c r="E50" s="13" t="s">
        <v>1</v>
      </c>
      <c r="F50" s="39" t="s">
        <v>43</v>
      </c>
      <c r="G50" s="39" t="s">
        <v>44</v>
      </c>
      <c r="H50" s="39" t="s">
        <v>45</v>
      </c>
      <c r="I50" s="39" t="s">
        <v>46</v>
      </c>
      <c r="J50" s="39" t="s">
        <v>47</v>
      </c>
      <c r="K50" s="39" t="s">
        <v>14</v>
      </c>
      <c r="L50" s="30" t="s">
        <v>43</v>
      </c>
      <c r="N50" s="7"/>
    </row>
    <row r="51" spans="5:14">
      <c r="E51" s="16">
        <v>0.5</v>
      </c>
      <c r="F51" s="110">
        <v>0</v>
      </c>
      <c r="G51" s="110" t="s">
        <v>49</v>
      </c>
      <c r="H51" s="110" t="s">
        <v>50</v>
      </c>
      <c r="I51" s="110" t="s">
        <v>51</v>
      </c>
      <c r="J51" s="110" t="s">
        <v>50</v>
      </c>
      <c r="K51" s="110" t="s">
        <v>49</v>
      </c>
      <c r="L51" s="111">
        <v>0</v>
      </c>
      <c r="N51" s="7"/>
    </row>
    <row r="52" spans="5:14">
      <c r="E52" s="16">
        <v>1.5</v>
      </c>
      <c r="F52" s="110">
        <v>0</v>
      </c>
      <c r="G52" s="110" t="s">
        <v>52</v>
      </c>
      <c r="H52" s="110" t="s">
        <v>52</v>
      </c>
      <c r="I52" s="110" t="s">
        <v>53</v>
      </c>
      <c r="J52" s="110" t="s">
        <v>54</v>
      </c>
      <c r="K52" s="110" t="s">
        <v>52</v>
      </c>
      <c r="L52" s="111">
        <v>0</v>
      </c>
      <c r="N52" s="7"/>
    </row>
    <row r="53" spans="5:14">
      <c r="E53" s="16">
        <v>3.5</v>
      </c>
      <c r="F53" s="110">
        <v>0</v>
      </c>
      <c r="G53" s="110" t="s">
        <v>55</v>
      </c>
      <c r="H53" s="110" t="s">
        <v>55</v>
      </c>
      <c r="I53" s="110" t="s">
        <v>56</v>
      </c>
      <c r="J53" s="110" t="s">
        <v>56</v>
      </c>
      <c r="K53" s="110" t="s">
        <v>57</v>
      </c>
      <c r="L53" s="111">
        <v>0</v>
      </c>
      <c r="N53" s="7"/>
    </row>
    <row r="54" spans="5:14">
      <c r="E54" s="16">
        <v>4.5</v>
      </c>
      <c r="F54" s="110">
        <v>0</v>
      </c>
      <c r="G54" s="110" t="s">
        <v>58</v>
      </c>
      <c r="H54" s="110" t="s">
        <v>58</v>
      </c>
      <c r="I54" s="110" t="s">
        <v>58</v>
      </c>
      <c r="J54" s="110" t="s">
        <v>58</v>
      </c>
      <c r="K54" s="110">
        <v>0</v>
      </c>
      <c r="L54" s="111">
        <v>0</v>
      </c>
      <c r="N54" s="7"/>
    </row>
    <row r="55" spans="5:14">
      <c r="E55" s="16">
        <v>1</v>
      </c>
      <c r="F55" s="110">
        <v>0</v>
      </c>
      <c r="G55" s="110" t="s">
        <v>59</v>
      </c>
      <c r="H55" s="110" t="s">
        <v>59</v>
      </c>
      <c r="I55" s="110" t="s">
        <v>60</v>
      </c>
      <c r="J55" s="110" t="s">
        <v>59</v>
      </c>
      <c r="K55" s="110" t="s">
        <v>59</v>
      </c>
      <c r="L55" s="111">
        <v>0</v>
      </c>
      <c r="N55" s="7"/>
    </row>
    <row r="56" spans="5:14">
      <c r="E56" s="16">
        <v>2</v>
      </c>
      <c r="F56" s="110">
        <v>0</v>
      </c>
      <c r="G56" s="110" t="s">
        <v>61</v>
      </c>
      <c r="H56" s="110" t="s">
        <v>61</v>
      </c>
      <c r="I56" s="110" t="s">
        <v>62</v>
      </c>
      <c r="J56" s="110" t="s">
        <v>62</v>
      </c>
      <c r="K56" s="110" t="s">
        <v>61</v>
      </c>
      <c r="L56" s="111">
        <v>0</v>
      </c>
      <c r="N56" s="7"/>
    </row>
    <row r="57" spans="5:14">
      <c r="E57" s="16">
        <v>3</v>
      </c>
      <c r="F57" s="110">
        <v>0</v>
      </c>
      <c r="G57" s="110" t="s">
        <v>63</v>
      </c>
      <c r="H57" s="110" t="s">
        <v>63</v>
      </c>
      <c r="I57" s="110" t="s">
        <v>64</v>
      </c>
      <c r="J57" s="110" t="s">
        <v>64</v>
      </c>
      <c r="K57" s="110" t="s">
        <v>63</v>
      </c>
      <c r="L57" s="111">
        <v>0</v>
      </c>
      <c r="N57" s="7"/>
    </row>
    <row r="58" spans="5:14" ht="15.75" thickBot="1">
      <c r="E58" s="17">
        <v>4</v>
      </c>
      <c r="F58" s="112">
        <v>0</v>
      </c>
      <c r="G58" s="112" t="s">
        <v>65</v>
      </c>
      <c r="H58" s="112" t="s">
        <v>65</v>
      </c>
      <c r="I58" s="112" t="s">
        <v>65</v>
      </c>
      <c r="J58" s="112" t="s">
        <v>65</v>
      </c>
      <c r="K58" s="112" t="s">
        <v>66</v>
      </c>
      <c r="L58" s="113">
        <v>0</v>
      </c>
      <c r="N58" s="7"/>
    </row>
    <row r="59" spans="5:14">
      <c r="N59" s="7"/>
    </row>
    <row r="60" spans="5:14">
      <c r="N60" s="7"/>
    </row>
    <row r="61" spans="5:14">
      <c r="N61" s="7"/>
    </row>
    <row r="62" spans="5:14">
      <c r="N62" s="7"/>
    </row>
    <row r="63" spans="5:14">
      <c r="N63" s="7"/>
    </row>
    <row r="64" spans="5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6">
    <mergeCell ref="E21:L21"/>
    <mergeCell ref="E28:L28"/>
    <mergeCell ref="E35:L35"/>
    <mergeCell ref="E42:L42"/>
    <mergeCell ref="E49:L49"/>
    <mergeCell ref="N2:S2"/>
    <mergeCell ref="N3:S4"/>
    <mergeCell ref="J4:L5"/>
    <mergeCell ref="E5:I8"/>
    <mergeCell ref="J6:L7"/>
    <mergeCell ref="N5:S7"/>
    <mergeCell ref="B2:C2"/>
    <mergeCell ref="B3:C3"/>
    <mergeCell ref="B5:C5"/>
    <mergeCell ref="B6:C7"/>
    <mergeCell ref="E2:L2"/>
    <mergeCell ref="E3:I3"/>
    <mergeCell ref="J3:L3"/>
    <mergeCell ref="E4:I4"/>
    <mergeCell ref="P9:S9"/>
    <mergeCell ref="E14:L14"/>
    <mergeCell ref="B9:C9"/>
    <mergeCell ref="J8:L10"/>
    <mergeCell ref="J11:L11"/>
    <mergeCell ref="E9:I10"/>
    <mergeCell ref="E11:I1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T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70" t="s">
        <v>33</v>
      </c>
      <c r="C2" s="71"/>
      <c r="E2" s="80" t="s">
        <v>29</v>
      </c>
      <c r="F2" s="81"/>
      <c r="G2" s="81"/>
      <c r="H2" s="81"/>
      <c r="I2" s="81"/>
      <c r="J2" s="81"/>
      <c r="K2" s="81"/>
      <c r="L2" s="82"/>
      <c r="N2" s="63" t="s">
        <v>31</v>
      </c>
      <c r="O2" s="64"/>
      <c r="P2" s="64"/>
      <c r="Q2" s="64"/>
      <c r="R2" s="64"/>
      <c r="S2" s="65"/>
      <c r="T2" s="61"/>
    </row>
    <row r="3" spans="2:20" ht="15.75" customHeight="1" thickBot="1">
      <c r="B3" s="72" t="s">
        <v>21</v>
      </c>
      <c r="C3" s="73"/>
      <c r="E3" s="83" t="s">
        <v>27</v>
      </c>
      <c r="F3" s="84"/>
      <c r="G3" s="84"/>
      <c r="H3" s="84"/>
      <c r="I3" s="84"/>
      <c r="J3" s="84" t="s">
        <v>28</v>
      </c>
      <c r="K3" s="84"/>
      <c r="L3" s="85"/>
      <c r="N3" s="86" t="s">
        <v>81</v>
      </c>
      <c r="O3" s="87"/>
      <c r="P3" s="87"/>
      <c r="Q3" s="87"/>
      <c r="R3" s="87"/>
      <c r="S3" s="88"/>
      <c r="T3" s="62"/>
    </row>
    <row r="4" spans="2:20" ht="15" customHeight="1" thickBot="1">
      <c r="E4" s="66" t="s">
        <v>73</v>
      </c>
      <c r="F4" s="67"/>
      <c r="G4" s="67"/>
      <c r="H4" s="67"/>
      <c r="I4" s="67"/>
      <c r="J4" s="92" t="s">
        <v>68</v>
      </c>
      <c r="K4" s="93"/>
      <c r="L4" s="94"/>
      <c r="N4" s="89"/>
      <c r="O4" s="90"/>
      <c r="P4" s="90"/>
      <c r="Q4" s="90"/>
      <c r="R4" s="90"/>
      <c r="S4" s="91"/>
      <c r="T4" s="62"/>
    </row>
    <row r="5" spans="2:20" ht="15" customHeight="1">
      <c r="B5" s="74" t="s">
        <v>72</v>
      </c>
      <c r="C5" s="75"/>
      <c r="E5" s="96" t="s">
        <v>84</v>
      </c>
      <c r="F5" s="97"/>
      <c r="G5" s="97"/>
      <c r="H5" s="97"/>
      <c r="I5" s="97"/>
      <c r="J5" s="95"/>
      <c r="K5" s="90"/>
      <c r="L5" s="91"/>
      <c r="N5" s="99" t="s">
        <v>80</v>
      </c>
      <c r="O5" s="93"/>
      <c r="P5" s="93"/>
      <c r="Q5" s="93"/>
      <c r="R5" s="93"/>
      <c r="S5" s="94"/>
      <c r="T5" s="62"/>
    </row>
    <row r="6" spans="2:20" ht="15" customHeight="1">
      <c r="B6" s="76"/>
      <c r="C6" s="77"/>
      <c r="E6" s="96"/>
      <c r="F6" s="97"/>
      <c r="G6" s="97"/>
      <c r="H6" s="97"/>
      <c r="I6" s="97"/>
      <c r="J6" s="67" t="s">
        <v>75</v>
      </c>
      <c r="K6" s="67"/>
      <c r="L6" s="98"/>
      <c r="N6" s="100"/>
      <c r="O6" s="101"/>
      <c r="P6" s="101"/>
      <c r="Q6" s="101"/>
      <c r="R6" s="101"/>
      <c r="S6" s="102"/>
      <c r="T6" s="62"/>
    </row>
    <row r="7" spans="2:20" ht="15.75" thickBot="1">
      <c r="B7" s="78"/>
      <c r="C7" s="79"/>
      <c r="E7" s="96"/>
      <c r="F7" s="97"/>
      <c r="G7" s="97"/>
      <c r="H7" s="97"/>
      <c r="I7" s="97"/>
      <c r="J7" s="67"/>
      <c r="K7" s="67"/>
      <c r="L7" s="98"/>
      <c r="N7" s="103"/>
      <c r="O7" s="104"/>
      <c r="P7" s="104"/>
      <c r="Q7" s="104"/>
      <c r="R7" s="104"/>
      <c r="S7" s="105"/>
      <c r="T7" s="62"/>
    </row>
    <row r="8" spans="2:20" ht="15.75" customHeight="1" thickBot="1">
      <c r="E8" s="96"/>
      <c r="F8" s="97"/>
      <c r="G8" s="97"/>
      <c r="H8" s="97"/>
      <c r="I8" s="97"/>
      <c r="J8" s="92" t="s">
        <v>76</v>
      </c>
      <c r="K8" s="93"/>
      <c r="L8" s="94"/>
    </row>
    <row r="9" spans="2:20" ht="15.75" customHeight="1" thickBot="1">
      <c r="B9" s="63" t="s">
        <v>22</v>
      </c>
      <c r="C9" s="65"/>
      <c r="E9" s="66" t="s">
        <v>74</v>
      </c>
      <c r="F9" s="67"/>
      <c r="G9" s="67"/>
      <c r="H9" s="67"/>
      <c r="I9" s="67"/>
      <c r="J9" s="114"/>
      <c r="K9" s="101"/>
      <c r="L9" s="102"/>
      <c r="N9" s="11" t="s">
        <v>24</v>
      </c>
      <c r="P9" s="63" t="s">
        <v>26</v>
      </c>
      <c r="Q9" s="64"/>
      <c r="R9" s="64"/>
      <c r="S9" s="65"/>
    </row>
    <row r="10" spans="2:20" ht="15.75" customHeight="1" thickBot="1">
      <c r="B10" s="13" t="s">
        <v>2</v>
      </c>
      <c r="C10" s="33" t="s">
        <v>3</v>
      </c>
      <c r="E10" s="66"/>
      <c r="F10" s="67"/>
      <c r="G10" s="67"/>
      <c r="H10" s="67"/>
      <c r="I10" s="67"/>
      <c r="J10" s="95"/>
      <c r="K10" s="90"/>
      <c r="L10" s="91"/>
      <c r="N10" s="24" t="s">
        <v>11</v>
      </c>
      <c r="P10" s="42" t="str">
        <f>INDEX(F15:L15, 1, Q10)</f>
        <v>G</v>
      </c>
      <c r="Q10" s="50">
        <f>MOD(N17, 7)+1</f>
        <v>7</v>
      </c>
      <c r="R10" s="51" t="str">
        <f>CHOOSE(N19, "Sunday", "Monday", "Tuesday", "Wednesday", "Thursday", "Friday", "Saturday")</f>
        <v>Wednesday</v>
      </c>
      <c r="S10" s="52">
        <f>N14</f>
        <v>41773</v>
      </c>
    </row>
    <row r="11" spans="2:20" ht="15.75" customHeight="1" thickBot="1">
      <c r="B11" s="16">
        <v>0</v>
      </c>
      <c r="C11" s="34" t="s">
        <v>69</v>
      </c>
      <c r="E11" s="68" t="s">
        <v>70</v>
      </c>
      <c r="F11" s="69"/>
      <c r="G11" s="69"/>
      <c r="H11" s="69"/>
      <c r="I11" s="69"/>
      <c r="J11" s="115" t="s">
        <v>71</v>
      </c>
      <c r="K11" s="116"/>
      <c r="L11" s="117"/>
      <c r="N11" s="2">
        <v>41645</v>
      </c>
      <c r="P11" s="43" t="s">
        <v>1</v>
      </c>
      <c r="Q11" s="44" t="s">
        <v>2</v>
      </c>
      <c r="R11" s="53" t="s">
        <v>4</v>
      </c>
      <c r="S11" s="54" t="s">
        <v>67</v>
      </c>
    </row>
    <row r="12" spans="2:20">
      <c r="B12" s="16">
        <v>1</v>
      </c>
      <c r="C12" s="35" t="s">
        <v>6</v>
      </c>
      <c r="E12" s="32"/>
      <c r="N12" s="25" t="s">
        <v>30</v>
      </c>
      <c r="P12" s="19">
        <v>0.5</v>
      </c>
      <c r="Q12" s="45">
        <f>INDEX(F44:L47, 1, N19)</f>
        <v>14</v>
      </c>
      <c r="R12" s="55" t="str">
        <f>INDEX(C11:C26, Q12+1, 1)</f>
        <v>FAC MTGS</v>
      </c>
      <c r="S12" s="56" t="str">
        <f>INDEX(F51:L54, 1, N19)</f>
        <v>7:45-9:00</v>
      </c>
    </row>
    <row r="13" spans="2:20" ht="15.75" thickBot="1">
      <c r="B13" s="16">
        <f>B12+1</f>
        <v>2</v>
      </c>
      <c r="C13" s="35" t="s">
        <v>5</v>
      </c>
      <c r="E13" s="9"/>
      <c r="N13" s="26"/>
      <c r="P13" s="46">
        <v>1</v>
      </c>
      <c r="Q13" s="47">
        <f>INDEX(F16:L19,P13, Q10)</f>
        <v>4</v>
      </c>
      <c r="R13" s="57" t="str">
        <f>INDEX(C12:C19, Q13, 1)</f>
        <v>Bible</v>
      </c>
      <c r="S13" s="58" t="str">
        <f>INDEX(F55:L58, P13, N19)</f>
        <v>9:00-10:10</v>
      </c>
    </row>
    <row r="14" spans="2:20" ht="15.75" thickBot="1">
      <c r="B14" s="16">
        <f t="shared" ref="B14:B26" si="0">B13+1</f>
        <v>3</v>
      </c>
      <c r="C14" s="35" t="s">
        <v>7</v>
      </c>
      <c r="E14" s="63" t="s">
        <v>23</v>
      </c>
      <c r="F14" s="64"/>
      <c r="G14" s="64"/>
      <c r="H14" s="64"/>
      <c r="I14" s="64"/>
      <c r="J14" s="64"/>
      <c r="K14" s="64"/>
      <c r="L14" s="65"/>
      <c r="N14" s="27">
        <v>41773</v>
      </c>
      <c r="P14" s="19">
        <v>1.5</v>
      </c>
      <c r="Q14" s="48">
        <f>INDEX(F44:L47, 2, N19)</f>
        <v>10</v>
      </c>
      <c r="R14" s="55" t="str">
        <f>INDEX(C11:C26, Q14+1, 1)</f>
        <v>Break</v>
      </c>
      <c r="S14" s="56" t="str">
        <f>INDEX(F51:L54, 2, N19)</f>
        <v>10:10-10:25</v>
      </c>
    </row>
    <row r="15" spans="2:20">
      <c r="B15" s="16">
        <f t="shared" si="0"/>
        <v>4</v>
      </c>
      <c r="C15" s="35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46">
        <v>2</v>
      </c>
      <c r="Q15" s="47">
        <f>INDEX(F16:L19,P15, Q10)</f>
        <v>5</v>
      </c>
      <c r="R15" s="57" t="str">
        <f>INDEX(C12:C19, Q15, 1)</f>
        <v>English</v>
      </c>
      <c r="S15" s="58" t="str">
        <f>INDEX(F55:L58, P15, N19)</f>
        <v>10:25-11:35</v>
      </c>
    </row>
    <row r="16" spans="2:20">
      <c r="B16" s="16">
        <f t="shared" si="0"/>
        <v>5</v>
      </c>
      <c r="C16" s="35" t="s">
        <v>9</v>
      </c>
      <c r="E16" s="16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1" t="s">
        <v>12</v>
      </c>
      <c r="P16" s="46">
        <v>3</v>
      </c>
      <c r="Q16" s="47">
        <f>INDEX(F16:L19,P17,Q10)</f>
        <v>6</v>
      </c>
      <c r="R16" s="57" t="str">
        <f>INDEX(C12:C19, Q16, 1)</f>
        <v>Orchestra</v>
      </c>
      <c r="S16" s="58" t="str">
        <f>INDEX(F55:L58, P16, N19)</f>
        <v>11:35-1:40</v>
      </c>
    </row>
    <row r="17" spans="2:19" ht="15.75" thickBot="1">
      <c r="B17" s="16">
        <f t="shared" si="0"/>
        <v>6</v>
      </c>
      <c r="C17" s="35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18">
        <f>MAX(NETWORKDAYS(N11, N14,N23:N124)-1, 0)</f>
        <v>83</v>
      </c>
      <c r="P17" s="19">
        <v>3.5</v>
      </c>
      <c r="Q17" s="48">
        <f>INDEX(F44:L47, 3, N19)</f>
        <v>10</v>
      </c>
      <c r="R17" s="55" t="str">
        <f>INDEX(C11:C26, Q17+1, 1)</f>
        <v>Break</v>
      </c>
      <c r="S17" s="56" t="str">
        <f>INDEX(F51:L54, 3, N19)</f>
        <v>1:40-1:50</v>
      </c>
    </row>
    <row r="18" spans="2:19">
      <c r="B18" s="16">
        <f t="shared" si="0"/>
        <v>7</v>
      </c>
      <c r="C18" s="35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1" t="s">
        <v>34</v>
      </c>
      <c r="P18" s="46">
        <v>4</v>
      </c>
      <c r="Q18" s="47">
        <f>INDEX(F16:L19,P18, Q10)</f>
        <v>7</v>
      </c>
      <c r="R18" s="57" t="str">
        <f>INDEX(C12:C19, Q18, 1)</f>
        <v>Physics</v>
      </c>
      <c r="S18" s="58" t="str">
        <f>INDEX(F55:L58, P18, N19)</f>
        <v>1:50-3:00</v>
      </c>
    </row>
    <row r="19" spans="2:19" ht="15.75" thickBot="1">
      <c r="B19" s="16">
        <f t="shared" si="0"/>
        <v>8</v>
      </c>
      <c r="C19" s="36" t="s">
        <v>15</v>
      </c>
      <c r="E19" s="17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4</v>
      </c>
      <c r="P19" s="20">
        <v>4.5</v>
      </c>
      <c r="Q19" s="49">
        <f>INDEX(F44:L47, 4, N19)</f>
        <v>9</v>
      </c>
      <c r="R19" s="59" t="str">
        <f>INDEX(C11:C26, Q19+1, 1)</f>
        <v>Office Hours</v>
      </c>
      <c r="S19" s="60" t="str">
        <f>INDEX(F51:L54, 4, N19)</f>
        <v>3:00-3:30</v>
      </c>
    </row>
    <row r="20" spans="2:19" ht="15.75" thickBot="1">
      <c r="B20" s="16">
        <f t="shared" si="0"/>
        <v>9</v>
      </c>
      <c r="C20" s="37" t="s">
        <v>35</v>
      </c>
      <c r="G20" s="29"/>
      <c r="P20" s="22"/>
      <c r="R20" s="23"/>
    </row>
    <row r="21" spans="2:19" ht="15.75" thickBot="1">
      <c r="B21" s="16">
        <f t="shared" si="0"/>
        <v>10</v>
      </c>
      <c r="C21" s="37" t="s">
        <v>36</v>
      </c>
      <c r="E21" s="63" t="s">
        <v>82</v>
      </c>
      <c r="F21" s="64"/>
      <c r="G21" s="64"/>
      <c r="H21" s="64"/>
      <c r="I21" s="64"/>
      <c r="J21" s="64"/>
      <c r="K21" s="64"/>
      <c r="L21" s="65"/>
      <c r="N21" s="10" t="s">
        <v>25</v>
      </c>
      <c r="P21" s="22"/>
      <c r="R21" s="23"/>
    </row>
    <row r="22" spans="2:19">
      <c r="B22" s="16">
        <f t="shared" si="0"/>
        <v>11</v>
      </c>
      <c r="C22" s="37" t="s">
        <v>37</v>
      </c>
      <c r="E22" s="122" t="s">
        <v>1</v>
      </c>
      <c r="F22" s="123" t="s">
        <v>16</v>
      </c>
      <c r="G22" s="123" t="s">
        <v>13</v>
      </c>
      <c r="H22" s="123" t="s">
        <v>17</v>
      </c>
      <c r="I22" s="123" t="s">
        <v>18</v>
      </c>
      <c r="J22" s="123" t="s">
        <v>19</v>
      </c>
      <c r="K22" s="123" t="s">
        <v>14</v>
      </c>
      <c r="L22" s="124" t="s">
        <v>20</v>
      </c>
      <c r="N22" s="12" t="s">
        <v>0</v>
      </c>
    </row>
    <row r="23" spans="2:19">
      <c r="B23" s="16">
        <f t="shared" si="0"/>
        <v>12</v>
      </c>
      <c r="C23" s="37" t="s">
        <v>38</v>
      </c>
      <c r="E23" s="46">
        <v>1</v>
      </c>
      <c r="F23" s="118">
        <v>1</v>
      </c>
      <c r="G23" s="126">
        <v>8</v>
      </c>
      <c r="H23" s="118">
        <v>2</v>
      </c>
      <c r="I23" s="118">
        <v>6</v>
      </c>
      <c r="J23" s="118">
        <v>3</v>
      </c>
      <c r="K23" s="118">
        <v>7</v>
      </c>
      <c r="L23" s="119">
        <v>4</v>
      </c>
      <c r="N23" s="7">
        <v>41659</v>
      </c>
    </row>
    <row r="24" spans="2:19">
      <c r="B24" s="16">
        <f t="shared" si="0"/>
        <v>13</v>
      </c>
      <c r="C24" s="37" t="s">
        <v>39</v>
      </c>
      <c r="E24" s="46">
        <v>2</v>
      </c>
      <c r="F24" s="118">
        <v>2</v>
      </c>
      <c r="G24" s="118">
        <v>6</v>
      </c>
      <c r="H24" s="118">
        <v>3</v>
      </c>
      <c r="I24" s="118">
        <v>7</v>
      </c>
      <c r="J24" s="118">
        <v>4</v>
      </c>
      <c r="K24" s="118">
        <v>1</v>
      </c>
      <c r="L24" s="128">
        <v>8</v>
      </c>
      <c r="N24" s="7">
        <v>41687</v>
      </c>
    </row>
    <row r="25" spans="2:19">
      <c r="B25" s="16">
        <f t="shared" si="0"/>
        <v>14</v>
      </c>
      <c r="C25" s="37" t="s">
        <v>40</v>
      </c>
      <c r="E25" s="46">
        <v>3</v>
      </c>
      <c r="F25" s="118">
        <v>3</v>
      </c>
      <c r="G25" s="118">
        <v>7</v>
      </c>
      <c r="H25" s="118">
        <v>4</v>
      </c>
      <c r="I25" s="118">
        <v>1</v>
      </c>
      <c r="J25" s="126">
        <v>8</v>
      </c>
      <c r="K25" s="118">
        <v>2</v>
      </c>
      <c r="L25" s="119">
        <v>6</v>
      </c>
      <c r="N25" s="7">
        <v>41706</v>
      </c>
    </row>
    <row r="26" spans="2:19" ht="15.75" thickBot="1">
      <c r="B26" s="17">
        <f t="shared" si="0"/>
        <v>15</v>
      </c>
      <c r="C26" s="38" t="s">
        <v>41</v>
      </c>
      <c r="E26" s="125">
        <v>4</v>
      </c>
      <c r="F26" s="120">
        <v>4</v>
      </c>
      <c r="G26" s="120">
        <v>1</v>
      </c>
      <c r="H26" s="127">
        <v>8</v>
      </c>
      <c r="I26" s="120">
        <v>2</v>
      </c>
      <c r="J26" s="120">
        <v>6</v>
      </c>
      <c r="K26" s="120">
        <v>3</v>
      </c>
      <c r="L26" s="121">
        <v>7</v>
      </c>
      <c r="N26" s="7">
        <v>41707</v>
      </c>
    </row>
    <row r="27" spans="2:19" ht="15.75" thickBot="1">
      <c r="N27" s="7">
        <v>41708</v>
      </c>
    </row>
    <row r="28" spans="2:19" ht="15.75" thickBot="1">
      <c r="E28" s="63" t="s">
        <v>86</v>
      </c>
      <c r="F28" s="64"/>
      <c r="G28" s="64"/>
      <c r="H28" s="64"/>
      <c r="I28" s="64"/>
      <c r="J28" s="64"/>
      <c r="K28" s="64"/>
      <c r="L28" s="65"/>
      <c r="N28" s="7">
        <v>41709</v>
      </c>
    </row>
    <row r="29" spans="2:19">
      <c r="E29" s="122" t="s">
        <v>1</v>
      </c>
      <c r="F29" s="123" t="s">
        <v>16</v>
      </c>
      <c r="G29" s="123" t="s">
        <v>13</v>
      </c>
      <c r="H29" s="123" t="s">
        <v>17</v>
      </c>
      <c r="I29" s="123" t="s">
        <v>18</v>
      </c>
      <c r="J29" s="123" t="s">
        <v>19</v>
      </c>
      <c r="K29" s="123" t="s">
        <v>14</v>
      </c>
      <c r="L29" s="124" t="s">
        <v>20</v>
      </c>
      <c r="N29" s="7">
        <v>41710</v>
      </c>
    </row>
    <row r="30" spans="2:19">
      <c r="E30" s="46">
        <v>1</v>
      </c>
      <c r="F30" s="118">
        <v>1</v>
      </c>
      <c r="G30" s="118">
        <v>5</v>
      </c>
      <c r="H30" s="118">
        <v>2</v>
      </c>
      <c r="I30" s="118">
        <v>6</v>
      </c>
      <c r="J30" s="118">
        <v>3</v>
      </c>
      <c r="K30" s="126">
        <v>8</v>
      </c>
      <c r="L30" s="119">
        <v>4</v>
      </c>
      <c r="N30" s="7">
        <v>41711</v>
      </c>
    </row>
    <row r="31" spans="2:19">
      <c r="E31" s="46">
        <v>2</v>
      </c>
      <c r="F31" s="118">
        <v>2</v>
      </c>
      <c r="G31" s="118">
        <v>6</v>
      </c>
      <c r="H31" s="118">
        <v>3</v>
      </c>
      <c r="I31" s="118">
        <v>7</v>
      </c>
      <c r="J31" s="118">
        <v>4</v>
      </c>
      <c r="K31" s="118">
        <v>1</v>
      </c>
      <c r="L31" s="119">
        <v>5</v>
      </c>
      <c r="N31" s="7">
        <v>41712</v>
      </c>
    </row>
    <row r="32" spans="2:19">
      <c r="E32" s="46">
        <v>3</v>
      </c>
      <c r="F32" s="118">
        <v>3</v>
      </c>
      <c r="G32" s="126">
        <v>8</v>
      </c>
      <c r="H32" s="118">
        <v>4</v>
      </c>
      <c r="I32" s="118">
        <v>1</v>
      </c>
      <c r="J32" s="118">
        <v>5</v>
      </c>
      <c r="K32" s="118">
        <v>2</v>
      </c>
      <c r="L32" s="119">
        <v>6</v>
      </c>
      <c r="N32" s="7">
        <v>41713</v>
      </c>
    </row>
    <row r="33" spans="5:14" ht="15.75" thickBot="1">
      <c r="E33" s="125">
        <v>4</v>
      </c>
      <c r="F33" s="120">
        <v>4</v>
      </c>
      <c r="G33" s="120">
        <v>1</v>
      </c>
      <c r="H33" s="120">
        <v>5</v>
      </c>
      <c r="I33" s="120">
        <v>2</v>
      </c>
      <c r="J33" s="120">
        <v>6</v>
      </c>
      <c r="K33" s="120">
        <v>3</v>
      </c>
      <c r="L33" s="121">
        <v>7</v>
      </c>
      <c r="N33" s="7">
        <v>41714</v>
      </c>
    </row>
    <row r="34" spans="5:14" ht="15.75" thickBot="1">
      <c r="N34" s="7">
        <v>41747</v>
      </c>
    </row>
    <row r="35" spans="5:14" ht="15.75" thickBot="1">
      <c r="E35" s="63" t="s">
        <v>83</v>
      </c>
      <c r="F35" s="64"/>
      <c r="G35" s="64"/>
      <c r="H35" s="64"/>
      <c r="I35" s="64"/>
      <c r="J35" s="64"/>
      <c r="K35" s="64"/>
      <c r="L35" s="65"/>
      <c r="N35" s="7">
        <v>41748</v>
      </c>
    </row>
    <row r="36" spans="5:14">
      <c r="E36" s="122" t="s">
        <v>1</v>
      </c>
      <c r="F36" s="123" t="s">
        <v>16</v>
      </c>
      <c r="G36" s="123" t="s">
        <v>13</v>
      </c>
      <c r="H36" s="123" t="s">
        <v>17</v>
      </c>
      <c r="I36" s="123" t="s">
        <v>18</v>
      </c>
      <c r="J36" s="123" t="s">
        <v>19</v>
      </c>
      <c r="K36" s="123" t="s">
        <v>14</v>
      </c>
      <c r="L36" s="124" t="s">
        <v>20</v>
      </c>
      <c r="N36" s="7">
        <v>41749</v>
      </c>
    </row>
    <row r="37" spans="5:14">
      <c r="E37" s="46">
        <v>1</v>
      </c>
      <c r="F37" s="118">
        <v>1</v>
      </c>
      <c r="G37" s="126">
        <v>8</v>
      </c>
      <c r="H37" s="118">
        <v>2</v>
      </c>
      <c r="I37" s="118">
        <v>6</v>
      </c>
      <c r="J37" s="118">
        <v>3</v>
      </c>
      <c r="K37" s="126">
        <v>8</v>
      </c>
      <c r="L37" s="119">
        <v>4</v>
      </c>
      <c r="N37" s="7">
        <v>41750</v>
      </c>
    </row>
    <row r="38" spans="5:14">
      <c r="E38" s="46">
        <v>2</v>
      </c>
      <c r="F38" s="118">
        <v>2</v>
      </c>
      <c r="G38" s="118">
        <v>6</v>
      </c>
      <c r="H38" s="118">
        <v>3</v>
      </c>
      <c r="I38" s="118">
        <v>7</v>
      </c>
      <c r="J38" s="118">
        <v>4</v>
      </c>
      <c r="K38" s="118">
        <v>1</v>
      </c>
      <c r="L38" s="128">
        <v>8</v>
      </c>
      <c r="N38" s="7"/>
    </row>
    <row r="39" spans="5:14">
      <c r="E39" s="46">
        <v>3</v>
      </c>
      <c r="F39" s="118">
        <v>3</v>
      </c>
      <c r="G39" s="126">
        <v>8</v>
      </c>
      <c r="H39" s="118">
        <v>4</v>
      </c>
      <c r="I39" s="118">
        <v>1</v>
      </c>
      <c r="J39" s="126">
        <v>8</v>
      </c>
      <c r="K39" s="118">
        <v>2</v>
      </c>
      <c r="L39" s="119">
        <v>6</v>
      </c>
      <c r="N39" s="7"/>
    </row>
    <row r="40" spans="5:14" ht="15.75" thickBot="1">
      <c r="E40" s="125">
        <v>4</v>
      </c>
      <c r="F40" s="120">
        <v>4</v>
      </c>
      <c r="G40" s="120">
        <v>1</v>
      </c>
      <c r="H40" s="127">
        <v>8</v>
      </c>
      <c r="I40" s="120">
        <v>2</v>
      </c>
      <c r="J40" s="120">
        <v>6</v>
      </c>
      <c r="K40" s="120">
        <v>3</v>
      </c>
      <c r="L40" s="121">
        <v>7</v>
      </c>
      <c r="N40" s="7"/>
    </row>
    <row r="41" spans="5:14" ht="15.75" thickBot="1">
      <c r="N41" s="7"/>
    </row>
    <row r="42" spans="5:14" ht="15.75" thickBot="1">
      <c r="E42" s="63" t="s">
        <v>42</v>
      </c>
      <c r="F42" s="64"/>
      <c r="G42" s="64"/>
      <c r="H42" s="64"/>
      <c r="I42" s="64"/>
      <c r="J42" s="64"/>
      <c r="K42" s="64"/>
      <c r="L42" s="65"/>
      <c r="N42" s="7"/>
    </row>
    <row r="43" spans="5:14">
      <c r="E43" s="13" t="s">
        <v>1</v>
      </c>
      <c r="F43" s="39" t="s">
        <v>43</v>
      </c>
      <c r="G43" s="39" t="s">
        <v>44</v>
      </c>
      <c r="H43" s="39" t="s">
        <v>45</v>
      </c>
      <c r="I43" s="39" t="s">
        <v>46</v>
      </c>
      <c r="J43" s="39" t="s">
        <v>47</v>
      </c>
      <c r="K43" s="39" t="s">
        <v>14</v>
      </c>
      <c r="L43" s="30" t="s">
        <v>43</v>
      </c>
      <c r="N43" s="7"/>
    </row>
    <row r="44" spans="5:14">
      <c r="E44" s="40">
        <v>0.5</v>
      </c>
      <c r="F44" s="106">
        <v>0</v>
      </c>
      <c r="G44" s="106">
        <v>9</v>
      </c>
      <c r="H44" s="106">
        <v>13</v>
      </c>
      <c r="I44" s="106">
        <v>14</v>
      </c>
      <c r="J44" s="106">
        <v>13</v>
      </c>
      <c r="K44" s="106">
        <v>9</v>
      </c>
      <c r="L44" s="107">
        <v>0</v>
      </c>
      <c r="N44" s="7"/>
    </row>
    <row r="45" spans="5:14">
      <c r="E45" s="40">
        <v>1.5</v>
      </c>
      <c r="F45" s="106">
        <v>0</v>
      </c>
      <c r="G45" s="106">
        <v>10</v>
      </c>
      <c r="H45" s="106">
        <v>10</v>
      </c>
      <c r="I45" s="106">
        <v>10</v>
      </c>
      <c r="J45" s="106">
        <v>11</v>
      </c>
      <c r="K45" s="106">
        <v>12</v>
      </c>
      <c r="L45" s="107">
        <v>0</v>
      </c>
      <c r="N45" s="7"/>
    </row>
    <row r="46" spans="5:14">
      <c r="E46" s="40">
        <v>3.5</v>
      </c>
      <c r="F46" s="106">
        <v>0</v>
      </c>
      <c r="G46" s="106">
        <v>15</v>
      </c>
      <c r="H46" s="106">
        <v>15</v>
      </c>
      <c r="I46" s="106">
        <v>10</v>
      </c>
      <c r="J46" s="106">
        <v>10</v>
      </c>
      <c r="K46" s="106">
        <v>10</v>
      </c>
      <c r="L46" s="107">
        <v>0</v>
      </c>
      <c r="N46" s="7"/>
    </row>
    <row r="47" spans="5:14" ht="15.75" thickBot="1">
      <c r="E47" s="41">
        <v>4.5</v>
      </c>
      <c r="F47" s="108">
        <v>0</v>
      </c>
      <c r="G47" s="108">
        <v>9</v>
      </c>
      <c r="H47" s="108">
        <v>9</v>
      </c>
      <c r="I47" s="108">
        <v>9</v>
      </c>
      <c r="J47" s="108">
        <v>9</v>
      </c>
      <c r="K47" s="108">
        <v>0</v>
      </c>
      <c r="L47" s="109">
        <v>0</v>
      </c>
      <c r="N47" s="7"/>
    </row>
    <row r="48" spans="5:14" ht="15.75" thickBot="1">
      <c r="N48" s="7"/>
    </row>
    <row r="49" spans="5:14" ht="15.75" thickBot="1">
      <c r="E49" s="63" t="s">
        <v>48</v>
      </c>
      <c r="F49" s="64"/>
      <c r="G49" s="64"/>
      <c r="H49" s="64"/>
      <c r="I49" s="64"/>
      <c r="J49" s="64"/>
      <c r="K49" s="64"/>
      <c r="L49" s="65"/>
      <c r="N49" s="7"/>
    </row>
    <row r="50" spans="5:14">
      <c r="E50" s="13" t="s">
        <v>1</v>
      </c>
      <c r="F50" s="39" t="s">
        <v>43</v>
      </c>
      <c r="G50" s="39" t="s">
        <v>44</v>
      </c>
      <c r="H50" s="39" t="s">
        <v>45</v>
      </c>
      <c r="I50" s="39" t="s">
        <v>46</v>
      </c>
      <c r="J50" s="39" t="s">
        <v>47</v>
      </c>
      <c r="K50" s="39" t="s">
        <v>14</v>
      </c>
      <c r="L50" s="30" t="s">
        <v>43</v>
      </c>
      <c r="N50" s="7"/>
    </row>
    <row r="51" spans="5:14">
      <c r="E51" s="16">
        <v>0.5</v>
      </c>
      <c r="F51" s="110">
        <v>0</v>
      </c>
      <c r="G51" s="110" t="s">
        <v>49</v>
      </c>
      <c r="H51" s="110" t="s">
        <v>50</v>
      </c>
      <c r="I51" s="110" t="s">
        <v>51</v>
      </c>
      <c r="J51" s="110" t="s">
        <v>50</v>
      </c>
      <c r="K51" s="110" t="s">
        <v>49</v>
      </c>
      <c r="L51" s="111">
        <v>0</v>
      </c>
      <c r="N51" s="7"/>
    </row>
    <row r="52" spans="5:14">
      <c r="E52" s="16">
        <v>1.5</v>
      </c>
      <c r="F52" s="110">
        <v>0</v>
      </c>
      <c r="G52" s="110" t="s">
        <v>52</v>
      </c>
      <c r="H52" s="110" t="s">
        <v>52</v>
      </c>
      <c r="I52" s="110" t="s">
        <v>53</v>
      </c>
      <c r="J52" s="110" t="s">
        <v>54</v>
      </c>
      <c r="K52" s="110" t="s">
        <v>52</v>
      </c>
      <c r="L52" s="111">
        <v>0</v>
      </c>
      <c r="N52" s="7"/>
    </row>
    <row r="53" spans="5:14">
      <c r="E53" s="16">
        <v>3.5</v>
      </c>
      <c r="F53" s="110">
        <v>0</v>
      </c>
      <c r="G53" s="110" t="s">
        <v>55</v>
      </c>
      <c r="H53" s="110" t="s">
        <v>55</v>
      </c>
      <c r="I53" s="110" t="s">
        <v>56</v>
      </c>
      <c r="J53" s="110" t="s">
        <v>56</v>
      </c>
      <c r="K53" s="110" t="s">
        <v>57</v>
      </c>
      <c r="L53" s="111">
        <v>0</v>
      </c>
      <c r="N53" s="7"/>
    </row>
    <row r="54" spans="5:14">
      <c r="E54" s="16">
        <v>4.5</v>
      </c>
      <c r="F54" s="110">
        <v>0</v>
      </c>
      <c r="G54" s="110" t="s">
        <v>58</v>
      </c>
      <c r="H54" s="110" t="s">
        <v>58</v>
      </c>
      <c r="I54" s="110" t="s">
        <v>58</v>
      </c>
      <c r="J54" s="110" t="s">
        <v>58</v>
      </c>
      <c r="K54" s="110">
        <v>0</v>
      </c>
      <c r="L54" s="111">
        <v>0</v>
      </c>
      <c r="N54" s="7"/>
    </row>
    <row r="55" spans="5:14">
      <c r="E55" s="16">
        <v>1</v>
      </c>
      <c r="F55" s="110">
        <v>0</v>
      </c>
      <c r="G55" s="110" t="s">
        <v>59</v>
      </c>
      <c r="H55" s="110" t="s">
        <v>59</v>
      </c>
      <c r="I55" s="110" t="s">
        <v>60</v>
      </c>
      <c r="J55" s="110" t="s">
        <v>59</v>
      </c>
      <c r="K55" s="110" t="s">
        <v>59</v>
      </c>
      <c r="L55" s="111">
        <v>0</v>
      </c>
      <c r="N55" s="7"/>
    </row>
    <row r="56" spans="5:14">
      <c r="E56" s="16">
        <v>2</v>
      </c>
      <c r="F56" s="110">
        <v>0</v>
      </c>
      <c r="G56" s="110" t="s">
        <v>61</v>
      </c>
      <c r="H56" s="110" t="s">
        <v>61</v>
      </c>
      <c r="I56" s="110" t="s">
        <v>62</v>
      </c>
      <c r="J56" s="110" t="s">
        <v>62</v>
      </c>
      <c r="K56" s="110" t="s">
        <v>61</v>
      </c>
      <c r="L56" s="111">
        <v>0</v>
      </c>
      <c r="N56" s="7"/>
    </row>
    <row r="57" spans="5:14">
      <c r="E57" s="16">
        <v>3</v>
      </c>
      <c r="F57" s="110">
        <v>0</v>
      </c>
      <c r="G57" s="110" t="s">
        <v>63</v>
      </c>
      <c r="H57" s="110" t="s">
        <v>63</v>
      </c>
      <c r="I57" s="110" t="s">
        <v>64</v>
      </c>
      <c r="J57" s="110" t="s">
        <v>64</v>
      </c>
      <c r="K57" s="110" t="s">
        <v>63</v>
      </c>
      <c r="L57" s="111">
        <v>0</v>
      </c>
      <c r="N57" s="7"/>
    </row>
    <row r="58" spans="5:14" ht="15.75" thickBot="1">
      <c r="E58" s="17">
        <v>4</v>
      </c>
      <c r="F58" s="112">
        <v>0</v>
      </c>
      <c r="G58" s="112" t="s">
        <v>65</v>
      </c>
      <c r="H58" s="112" t="s">
        <v>65</v>
      </c>
      <c r="I58" s="112" t="s">
        <v>65</v>
      </c>
      <c r="J58" s="112" t="s">
        <v>65</v>
      </c>
      <c r="K58" s="112" t="s">
        <v>66</v>
      </c>
      <c r="L58" s="113">
        <v>0</v>
      </c>
      <c r="N58" s="7"/>
    </row>
    <row r="59" spans="5:14">
      <c r="N59" s="7"/>
    </row>
    <row r="60" spans="5:14">
      <c r="N60" s="7"/>
    </row>
    <row r="61" spans="5:14">
      <c r="N61" s="7"/>
    </row>
    <row r="62" spans="5:14">
      <c r="N62" s="7"/>
    </row>
    <row r="63" spans="5:14">
      <c r="N63" s="7"/>
    </row>
    <row r="64" spans="5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6">
    <mergeCell ref="E49:L49"/>
    <mergeCell ref="E21:L21"/>
    <mergeCell ref="E28:L28"/>
    <mergeCell ref="E35:L35"/>
    <mergeCell ref="E42:L42"/>
    <mergeCell ref="P9:S9"/>
    <mergeCell ref="N5:S7"/>
    <mergeCell ref="N2:S2"/>
    <mergeCell ref="N3:S4"/>
    <mergeCell ref="E2:L2"/>
    <mergeCell ref="E3:I3"/>
    <mergeCell ref="J3:L3"/>
    <mergeCell ref="E4:I4"/>
    <mergeCell ref="J4:L5"/>
    <mergeCell ref="E5:I8"/>
    <mergeCell ref="J6:L7"/>
    <mergeCell ref="E14:L14"/>
    <mergeCell ref="B2:C2"/>
    <mergeCell ref="B3:C3"/>
    <mergeCell ref="B9:C9"/>
    <mergeCell ref="B5:C5"/>
    <mergeCell ref="B6:C7"/>
    <mergeCell ref="J8:L10"/>
    <mergeCell ref="J11:L11"/>
    <mergeCell ref="E9:I10"/>
    <mergeCell ref="E11:I1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2013-08-26T00:57:34Z</dcterms:modified>
</cp:coreProperties>
</file>