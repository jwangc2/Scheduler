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11" i="1"/>
  <c r="D11" i="2"/>
  <c r="P9" s="1"/>
  <c r="Q9" s="1"/>
  <c r="Q4"/>
  <c r="Q4" i="1"/>
  <c r="P4" i="2" l="1"/>
  <c r="O4" s="1"/>
  <c r="P4" i="1"/>
  <c r="P7" s="1"/>
  <c r="Q7" s="1"/>
  <c r="P9"/>
  <c r="Q9" s="1"/>
  <c r="P7" i="2" l="1"/>
  <c r="Q7" s="1"/>
  <c r="P6"/>
  <c r="Q6" s="1"/>
  <c r="P8"/>
  <c r="Q8" s="1"/>
  <c r="O4" i="1"/>
  <c r="P6"/>
  <c r="Q6" s="1"/>
  <c r="P8"/>
  <c r="Q8" s="1"/>
</calcChain>
</file>

<file path=xl/sharedStrings.xml><?xml version="1.0" encoding="utf-8"?>
<sst xmlns="http://schemas.openxmlformats.org/spreadsheetml/2006/main" count="94" uniqueCount="48">
  <si>
    <t>Holidays</t>
  </si>
  <si>
    <t>Block</t>
  </si>
  <si>
    <t>Period</t>
  </si>
  <si>
    <t>Class 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</si>
  <si>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</si>
  <si>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</si>
  <si>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</si>
  <si>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</si>
  <si>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</si>
  <si>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</si>
  <si>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</si>
  <si>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</si>
  <si>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</si>
  <si>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</si>
  <si>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</si>
  <si>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</si>
  <si>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</si>
  <si>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</si>
  <si>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</si>
  <si>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</si>
  <si>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</si>
  <si>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</si>
  <si>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</si>
  <si>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</si>
  <si>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</si>
  <si>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</si>
  <si>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</si>
  <si>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</si>
  <si>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</si>
  <si>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</si>
  <si>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1. Fill out your course names in Fig. 1 (Leave Period 8 as "Free")</t>
  </si>
  <si>
    <t>3. Read the results off the "Result" chart</t>
  </si>
  <si>
    <t>Instructions</t>
  </si>
  <si>
    <t>2. Fill out your rotational schedule in Fig. 2 (Using 8 as a Free period)</t>
  </si>
  <si>
    <t>3. Make sure all the holidays are correctly marked in Fig.3</t>
  </si>
  <si>
    <t>2. Enter the date for the desired schedule in Fig. 4</t>
  </si>
  <si>
    <t>Date to Schedule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</si>
  <si>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</t>
    </r>
  </si>
  <si>
    <r>
      <t xml:space="preserve">NOT the </t>
    </r>
    <r>
      <rPr>
        <sz val="11"/>
        <color rgb="FFC0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 </t>
    </r>
    <r>
      <rPr>
        <sz val="11"/>
        <color theme="3" tint="0.39997558519241921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Areas</t>
    </r>
  </si>
  <si>
    <t>Disclaimers</t>
  </si>
  <si>
    <t>1. This calculates your schedule on the assumption that it is always rolling from the PAD, except for weekends and holidays.</t>
  </si>
  <si>
    <t xml:space="preserve">4. Enter date of a Past A Day of Sem I in Fig.4 (e.g 8/15/2013) </t>
  </si>
  <si>
    <t>2. All the break / holiday dates from the Calendar have been added, except for wms exam days. This Scheduler works only for Semester I.</t>
  </si>
  <si>
    <t>1. Use the LATEST A day (before Date to Schedule)</t>
  </si>
  <si>
    <t>WMS Scheduler I</t>
  </si>
  <si>
    <t>WMS Scheduler II</t>
  </si>
  <si>
    <t>2. All the break / holiday dates from the Calendar have been added, except for wms exam days. This Scheduler works only for Semester II.</t>
  </si>
  <si>
    <t xml:space="preserve">4. Enter date of a Past A Day of Sem II in Fig.4 (e.g 1/6/2014) 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</si>
</sst>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3" borderId="35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35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1" fillId="2" borderId="15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1" fillId="4" borderId="19" xfId="0" applyFont="1" applyFill="1" applyBorder="1" applyAlignment="1" applyProtection="1">
      <alignment horizontal="center"/>
    </xf>
    <xf numFmtId="0" fontId="1" fillId="4" borderId="20" xfId="0" applyFont="1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2" borderId="6" xfId="0" applyFill="1" applyBorder="1" applyAlignment="1" applyProtection="1">
      <alignment horizontal="center"/>
    </xf>
    <xf numFmtId="2" fontId="0" fillId="2" borderId="16" xfId="0" applyNumberFormat="1" applyFill="1" applyBorder="1" applyAlignment="1" applyProtection="1">
      <alignment horizontal="center"/>
    </xf>
    <xf numFmtId="0" fontId="0" fillId="4" borderId="32" xfId="0" applyFont="1" applyFill="1" applyBorder="1" applyAlignment="1" applyProtection="1">
      <alignment horizontal="center"/>
    </xf>
    <xf numFmtId="0" fontId="1" fillId="4" borderId="31" xfId="0" applyFont="1" applyFill="1" applyBorder="1" applyAlignment="1" applyProtection="1">
      <alignment horizontal="center"/>
    </xf>
    <xf numFmtId="0" fontId="1" fillId="4" borderId="20" xfId="0" applyFont="1" applyFill="1" applyBorder="1" applyProtection="1"/>
    <xf numFmtId="0" fontId="0" fillId="4" borderId="21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4" borderId="22" xfId="0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2" fontId="0" fillId="4" borderId="33" xfId="0" applyNumberFormat="1" applyFill="1" applyBorder="1" applyAlignment="1" applyProtection="1">
      <alignment horizontal="center"/>
    </xf>
    <xf numFmtId="0" fontId="1" fillId="2" borderId="26" xfId="0" applyFont="1" applyFill="1" applyBorder="1" applyAlignment="1" applyProtection="1">
      <alignment horizontal="center"/>
    </xf>
    <xf numFmtId="14" fontId="0" fillId="4" borderId="34" xfId="0" applyNumberForma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1" fillId="5" borderId="17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8" xfId="0" applyFont="1" applyFill="1" applyBorder="1" applyAlignment="1" applyProtection="1">
      <alignment horizontal="center"/>
    </xf>
    <xf numFmtId="0" fontId="1" fillId="5" borderId="9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0" fillId="4" borderId="24" xfId="0" applyFill="1" applyBorder="1" applyAlignment="1" applyProtection="1">
      <alignment wrapText="1"/>
    </xf>
    <xf numFmtId="0" fontId="0" fillId="4" borderId="26" xfId="0" applyFill="1" applyBorder="1" applyAlignment="1" applyProtection="1">
      <alignment wrapText="1"/>
    </xf>
    <xf numFmtId="0" fontId="0" fillId="4" borderId="9" xfId="0" applyFill="1" applyBorder="1" applyAlignment="1" applyProtection="1">
      <alignment wrapText="1"/>
    </xf>
    <xf numFmtId="0" fontId="0" fillId="4" borderId="10" xfId="0" applyFill="1" applyBorder="1" applyAlignment="1" applyProtection="1">
      <alignment wrapText="1"/>
    </xf>
    <xf numFmtId="0" fontId="0" fillId="4" borderId="36" xfId="0" applyFill="1" applyBorder="1" applyAlignment="1" applyProtection="1">
      <alignment wrapText="1"/>
    </xf>
    <xf numFmtId="0" fontId="0" fillId="4" borderId="37" xfId="0" applyFill="1" applyBorder="1" applyAlignment="1" applyProtection="1">
      <alignment wrapText="1"/>
    </xf>
    <xf numFmtId="0" fontId="0" fillId="4" borderId="11" xfId="0" applyFill="1" applyBorder="1" applyAlignment="1" applyProtection="1">
      <alignment wrapText="1"/>
    </xf>
    <xf numFmtId="0" fontId="0" fillId="4" borderId="12" xfId="0" applyFill="1" applyBorder="1" applyAlignment="1" applyProtection="1">
      <alignment wrapText="1"/>
    </xf>
    <xf numFmtId="0" fontId="0" fillId="4" borderId="13" xfId="0" applyFill="1" applyBorder="1" applyAlignment="1" applyProtection="1">
      <alignment wrapText="1"/>
    </xf>
    <xf numFmtId="0" fontId="0" fillId="4" borderId="14" xfId="0" applyFill="1" applyBorder="1" applyAlignment="1" applyProtection="1">
      <alignment wrapText="1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4" borderId="25" xfId="0" applyFill="1" applyBorder="1" applyAlignment="1" applyProtection="1">
      <alignment wrapText="1"/>
    </xf>
    <xf numFmtId="0" fontId="0" fillId="4" borderId="28" xfId="0" applyFill="1" applyBorder="1" applyAlignment="1" applyProtection="1">
      <alignment wrapText="1"/>
    </xf>
    <xf numFmtId="14" fontId="1" fillId="0" borderId="12" xfId="0" applyNumberFormat="1" applyFont="1" applyFill="1" applyBorder="1" applyAlignment="1" applyProtection="1"/>
    <xf numFmtId="14" fontId="0" fillId="0" borderId="12" xfId="0" applyNumberFormat="1" applyFill="1" applyBorder="1" applyAlignment="1" applyProtection="1">
      <protection locked="0"/>
    </xf>
    <xf numFmtId="0" fontId="1" fillId="0" borderId="12" xfId="0" applyFont="1" applyFill="1" applyBorder="1" applyAlignment="1" applyProtection="1"/>
    <xf numFmtId="14" fontId="0" fillId="0" borderId="0" xfId="0" applyNumberFormat="1" applyFill="1" applyBorder="1" applyAlignment="1" applyProtection="1">
      <alignment vertical="center"/>
      <protection locked="0"/>
    </xf>
    <xf numFmtId="2" fontId="0" fillId="0" borderId="0" xfId="0" applyNumberFormat="1" applyFill="1" applyBorder="1" applyAlignment="1" applyProtection="1"/>
    <xf numFmtId="0" fontId="1" fillId="0" borderId="0" xfId="0" applyFont="1" applyFill="1" applyBorder="1" applyAlignment="1" applyProtection="1"/>
    <xf numFmtId="14" fontId="1" fillId="2" borderId="15" xfId="0" applyNumberFormat="1" applyFont="1" applyFill="1" applyBorder="1" applyAlignment="1" applyProtection="1"/>
    <xf numFmtId="0" fontId="1" fillId="2" borderId="30" xfId="0" applyFont="1" applyFill="1" applyBorder="1" applyAlignment="1" applyProtection="1"/>
    <xf numFmtId="0" fontId="0" fillId="3" borderId="38" xfId="0" applyFill="1" applyBorder="1" applyProtection="1"/>
    <xf numFmtId="14" fontId="0" fillId="3" borderId="38" xfId="0" applyNumberFormat="1" applyFill="1" applyBorder="1" applyAlignment="1" applyProtection="1">
      <alignment horizontal="left" vertical="center"/>
      <protection locked="0"/>
    </xf>
    <xf numFmtId="14" fontId="0" fillId="3" borderId="29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Alignment="1" applyProtection="1"/>
    <xf numFmtId="0" fontId="1" fillId="2" borderId="20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106"/>
  <sheetViews>
    <sheetView tabSelected="1"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1.28515625" style="10" customWidth="1"/>
    <col min="5" max="6" width="6" style="10" customWidth="1"/>
    <col min="7" max="13" width="2.7109375" style="10" customWidth="1"/>
    <col min="14" max="14" width="4.28515625" style="10" customWidth="1"/>
    <col min="15" max="15" width="6.42578125" style="10" customWidth="1"/>
    <col min="16" max="16" width="12.85546875" style="10" customWidth="1"/>
    <col min="17" max="17" width="12" style="10" customWidth="1"/>
    <col min="18" max="18" width="4.140625" style="10" customWidth="1"/>
    <col min="19" max="19" width="31.42578125" style="10" customWidth="1"/>
    <col min="20" max="20" width="26.140625" style="10" customWidth="1"/>
    <col min="21" max="16384" width="9.140625" style="10"/>
  </cols>
  <sheetData>
    <row r="1" spans="2:20">
      <c r="B1" s="9" t="s">
        <v>44</v>
      </c>
      <c r="C1" s="9"/>
      <c r="D1" s="9" t="s">
        <v>22</v>
      </c>
    </row>
    <row r="2" spans="2:20" ht="15.75" thickBot="1"/>
    <row r="3" spans="2:20" ht="15.75" thickBot="1">
      <c r="B3" s="11" t="s">
        <v>25</v>
      </c>
      <c r="D3" s="12" t="s">
        <v>26</v>
      </c>
      <c r="F3" s="42" t="s">
        <v>24</v>
      </c>
      <c r="G3" s="43"/>
      <c r="H3" s="43"/>
      <c r="I3" s="43"/>
      <c r="J3" s="43"/>
      <c r="K3" s="43"/>
      <c r="L3" s="43"/>
      <c r="M3" s="44"/>
      <c r="O3" s="42" t="s">
        <v>27</v>
      </c>
      <c r="P3" s="43"/>
      <c r="Q3" s="44"/>
      <c r="S3" s="45" t="s">
        <v>32</v>
      </c>
      <c r="T3" s="46"/>
    </row>
    <row r="4" spans="2:20" ht="15.75" thickBot="1">
      <c r="B4" s="13" t="s">
        <v>0</v>
      </c>
      <c r="D4" s="67" t="s">
        <v>12</v>
      </c>
      <c r="E4" s="61"/>
      <c r="F4" s="36" t="s">
        <v>1</v>
      </c>
      <c r="G4" s="15" t="s">
        <v>17</v>
      </c>
      <c r="H4" s="15" t="s">
        <v>14</v>
      </c>
      <c r="I4" s="15" t="s">
        <v>18</v>
      </c>
      <c r="J4" s="15" t="s">
        <v>19</v>
      </c>
      <c r="K4" s="15" t="s">
        <v>20</v>
      </c>
      <c r="L4" s="15" t="s">
        <v>15</v>
      </c>
      <c r="M4" s="16" t="s">
        <v>21</v>
      </c>
      <c r="O4" s="26" t="str">
        <f>INDEX(G4:M4, 1, P4)</f>
        <v>G</v>
      </c>
      <c r="P4" s="35">
        <f>MOD(D11, 7)+1</f>
        <v>7</v>
      </c>
      <c r="Q4" s="37">
        <f>D8</f>
        <v>41509</v>
      </c>
      <c r="R4" s="17"/>
      <c r="S4" s="18" t="s">
        <v>28</v>
      </c>
      <c r="T4" s="19" t="s">
        <v>29</v>
      </c>
    </row>
    <row r="5" spans="2:20">
      <c r="B5" s="7">
        <v>41459</v>
      </c>
      <c r="D5" s="2">
        <v>41501</v>
      </c>
      <c r="E5" s="62"/>
      <c r="F5" s="20">
        <v>1</v>
      </c>
      <c r="G5" s="3">
        <v>1</v>
      </c>
      <c r="H5" s="3">
        <v>5</v>
      </c>
      <c r="I5" s="3">
        <v>2</v>
      </c>
      <c r="J5" s="3">
        <v>6</v>
      </c>
      <c r="K5" s="3">
        <v>3</v>
      </c>
      <c r="L5" s="3">
        <v>8</v>
      </c>
      <c r="M5" s="4">
        <v>4</v>
      </c>
      <c r="O5" s="18" t="s">
        <v>1</v>
      </c>
      <c r="P5" s="27" t="s">
        <v>2</v>
      </c>
      <c r="Q5" s="28" t="s">
        <v>5</v>
      </c>
      <c r="R5" s="21"/>
      <c r="S5" s="47" t="s">
        <v>30</v>
      </c>
      <c r="T5" s="22" t="s">
        <v>37</v>
      </c>
    </row>
    <row r="6" spans="2:20">
      <c r="B6" s="7">
        <v>41519</v>
      </c>
      <c r="D6" s="68" t="s">
        <v>36</v>
      </c>
      <c r="E6" s="63"/>
      <c r="F6" s="20">
        <v>2</v>
      </c>
      <c r="G6" s="3">
        <v>2</v>
      </c>
      <c r="H6" s="3">
        <v>6</v>
      </c>
      <c r="I6" s="3">
        <v>3</v>
      </c>
      <c r="J6" s="3">
        <v>7</v>
      </c>
      <c r="K6" s="3">
        <v>4</v>
      </c>
      <c r="L6" s="3">
        <v>1</v>
      </c>
      <c r="M6" s="4">
        <v>5</v>
      </c>
      <c r="O6" s="29">
        <v>1</v>
      </c>
      <c r="P6" s="30">
        <f>INDEX(G5:M8,O6, P4)</f>
        <v>4</v>
      </c>
      <c r="Q6" s="31" t="str">
        <f>INDEX(Q13:Q20, P6, 1)</f>
        <v>Bible</v>
      </c>
      <c r="R6" s="21"/>
      <c r="S6" s="48"/>
      <c r="T6" s="23" t="s">
        <v>38</v>
      </c>
    </row>
    <row r="7" spans="2:20">
      <c r="B7" s="7">
        <v>41561</v>
      </c>
      <c r="D7" s="69"/>
      <c r="E7" s="64"/>
      <c r="F7" s="20">
        <v>3</v>
      </c>
      <c r="G7" s="3">
        <v>3</v>
      </c>
      <c r="H7" s="3">
        <v>8</v>
      </c>
      <c r="I7" s="3">
        <v>4</v>
      </c>
      <c r="J7" s="3">
        <v>1</v>
      </c>
      <c r="K7" s="3">
        <v>5</v>
      </c>
      <c r="L7" s="3">
        <v>2</v>
      </c>
      <c r="M7" s="4">
        <v>6</v>
      </c>
      <c r="O7" s="29">
        <v>2</v>
      </c>
      <c r="P7" s="30">
        <f>INDEX(G5:M8,O7, P4)</f>
        <v>5</v>
      </c>
      <c r="Q7" s="31" t="str">
        <f>INDEX(Q13:Q20, P7, 1)</f>
        <v>English</v>
      </c>
      <c r="R7" s="21"/>
      <c r="S7" s="47" t="s">
        <v>33</v>
      </c>
      <c r="T7" s="57" t="s">
        <v>43</v>
      </c>
    </row>
    <row r="8" spans="2:20" ht="15.75" thickBot="1">
      <c r="B8" s="7">
        <v>41563</v>
      </c>
      <c r="D8" s="70">
        <v>41509</v>
      </c>
      <c r="E8" s="64"/>
      <c r="F8" s="24">
        <v>4</v>
      </c>
      <c r="G8" s="5">
        <v>4</v>
      </c>
      <c r="H8" s="5">
        <v>1</v>
      </c>
      <c r="I8" s="5">
        <v>5</v>
      </c>
      <c r="J8" s="5">
        <v>2</v>
      </c>
      <c r="K8" s="5">
        <v>6</v>
      </c>
      <c r="L8" s="5">
        <v>3</v>
      </c>
      <c r="M8" s="6">
        <v>7</v>
      </c>
      <c r="O8" s="29">
        <v>3</v>
      </c>
      <c r="P8" s="30">
        <f>INDEX(G5:M8,O8, P4)</f>
        <v>6</v>
      </c>
      <c r="Q8" s="31" t="str">
        <f>INDEX(Q13:Q20, P8, 1)</f>
        <v>Orchestra</v>
      </c>
      <c r="S8" s="48"/>
      <c r="T8" s="58"/>
    </row>
    <row r="9" spans="2:20" ht="15.75" thickBot="1">
      <c r="B9" s="7">
        <v>41565</v>
      </c>
      <c r="D9" s="71"/>
      <c r="E9" s="64"/>
      <c r="O9" s="32">
        <v>4</v>
      </c>
      <c r="P9" s="33">
        <f>INDEX(G5:M8,O9, MOD(D11, 7) +1)</f>
        <v>7</v>
      </c>
      <c r="Q9" s="34" t="str">
        <f>INDEX(Q13:Q20, P9, 1)</f>
        <v>Physics</v>
      </c>
      <c r="S9" s="47" t="s">
        <v>34</v>
      </c>
      <c r="T9" s="57" t="s">
        <v>35</v>
      </c>
    </row>
    <row r="10" spans="2:20" ht="15.75" thickBot="1">
      <c r="B10" s="7">
        <v>41575</v>
      </c>
      <c r="D10" s="68" t="s">
        <v>13</v>
      </c>
      <c r="E10" s="66"/>
      <c r="S10" s="48"/>
      <c r="T10" s="58"/>
    </row>
    <row r="11" spans="2:20" ht="15.75" thickBot="1">
      <c r="B11" s="7">
        <v>41603</v>
      </c>
      <c r="D11" s="25">
        <f>MAX(NETWORKDAYS(D5, D8,B5:B106)-1, 0)</f>
        <v>6</v>
      </c>
      <c r="E11" s="65"/>
      <c r="P11" s="42" t="s">
        <v>23</v>
      </c>
      <c r="Q11" s="44"/>
      <c r="S11" s="47" t="s">
        <v>41</v>
      </c>
      <c r="T11" s="57" t="s">
        <v>31</v>
      </c>
    </row>
    <row r="12" spans="2:20" ht="15.75" thickBot="1">
      <c r="B12" s="7">
        <v>41604</v>
      </c>
      <c r="P12" s="14" t="s">
        <v>3</v>
      </c>
      <c r="Q12" s="74" t="s">
        <v>4</v>
      </c>
      <c r="S12" s="59"/>
      <c r="T12" s="60"/>
    </row>
    <row r="13" spans="2:20" ht="15.75" thickBot="1">
      <c r="B13" s="7">
        <v>41605</v>
      </c>
      <c r="F13" s="66"/>
      <c r="P13" s="20">
        <v>1</v>
      </c>
      <c r="Q13" s="4" t="s">
        <v>7</v>
      </c>
    </row>
    <row r="14" spans="2:20" ht="15.75" thickBot="1">
      <c r="B14" s="7">
        <v>41606</v>
      </c>
      <c r="F14" s="66"/>
      <c r="P14" s="20">
        <v>2</v>
      </c>
      <c r="Q14" s="4" t="s">
        <v>6</v>
      </c>
      <c r="S14" s="42" t="s">
        <v>39</v>
      </c>
      <c r="T14" s="44"/>
    </row>
    <row r="15" spans="2:20">
      <c r="B15" s="7">
        <v>41607</v>
      </c>
      <c r="F15" s="72"/>
      <c r="P15" s="20">
        <v>3</v>
      </c>
      <c r="Q15" s="4" t="s">
        <v>8</v>
      </c>
      <c r="S15" s="49" t="s">
        <v>40</v>
      </c>
      <c r="T15" s="50"/>
    </row>
    <row r="16" spans="2:20">
      <c r="B16" s="7"/>
      <c r="F16" s="72"/>
      <c r="P16" s="20">
        <v>4</v>
      </c>
      <c r="Q16" s="4" t="s">
        <v>9</v>
      </c>
      <c r="S16" s="51"/>
      <c r="T16" s="52"/>
    </row>
    <row r="17" spans="2:20">
      <c r="B17" s="7"/>
      <c r="F17" s="72"/>
      <c r="P17" s="20">
        <v>5</v>
      </c>
      <c r="Q17" s="4" t="s">
        <v>10</v>
      </c>
      <c r="S17" s="53" t="s">
        <v>42</v>
      </c>
      <c r="T17" s="54"/>
    </row>
    <row r="18" spans="2:20">
      <c r="B18" s="7"/>
      <c r="F18" s="72"/>
      <c r="P18" s="20">
        <v>6</v>
      </c>
      <c r="Q18" s="4" t="s">
        <v>11</v>
      </c>
      <c r="S18" s="53"/>
      <c r="T18" s="54"/>
    </row>
    <row r="19" spans="2:20" ht="15.75" thickBot="1">
      <c r="B19" s="7"/>
      <c r="F19" s="72"/>
      <c r="P19" s="20">
        <v>7</v>
      </c>
      <c r="Q19" s="4" t="s">
        <v>8</v>
      </c>
      <c r="S19" s="55"/>
      <c r="T19" s="56"/>
    </row>
    <row r="20" spans="2:20" ht="15.75" thickBot="1">
      <c r="B20" s="7"/>
      <c r="F20" s="72"/>
      <c r="P20" s="24">
        <v>8</v>
      </c>
      <c r="Q20" s="75" t="s">
        <v>16</v>
      </c>
    </row>
    <row r="21" spans="2:20">
      <c r="B21" s="7"/>
      <c r="F21" s="72"/>
      <c r="O21" s="38"/>
      <c r="P21" s="38"/>
      <c r="Q21" s="39"/>
    </row>
    <row r="22" spans="2:20">
      <c r="B22" s="7"/>
      <c r="F22" s="73"/>
      <c r="O22" s="38"/>
      <c r="P22" s="38"/>
      <c r="Q22" s="39"/>
    </row>
    <row r="23" spans="2:20">
      <c r="B23" s="7"/>
      <c r="O23" s="38"/>
      <c r="P23" s="38"/>
      <c r="Q23" s="39"/>
    </row>
    <row r="24" spans="2:20">
      <c r="B24" s="7"/>
    </row>
    <row r="25" spans="2:20">
      <c r="B25" s="7"/>
    </row>
    <row r="26" spans="2:20">
      <c r="B26" s="7"/>
    </row>
    <row r="27" spans="2:20">
      <c r="B27" s="7"/>
    </row>
    <row r="28" spans="2:20">
      <c r="B28" s="7"/>
    </row>
    <row r="29" spans="2:20">
      <c r="B29" s="7"/>
    </row>
    <row r="30" spans="2:20">
      <c r="B30" s="7"/>
    </row>
    <row r="31" spans="2:20">
      <c r="B31" s="7"/>
    </row>
    <row r="32" spans="2:20">
      <c r="B32" s="7"/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4">
    <mergeCell ref="P11:Q11"/>
    <mergeCell ref="S3:T3"/>
    <mergeCell ref="S5:S6"/>
    <mergeCell ref="S14:T14"/>
    <mergeCell ref="S15:T16"/>
    <mergeCell ref="S17:T19"/>
    <mergeCell ref="S7:S8"/>
    <mergeCell ref="T7:T8"/>
    <mergeCell ref="S9:S10"/>
    <mergeCell ref="T9:T10"/>
    <mergeCell ref="S11:S12"/>
    <mergeCell ref="T11:T12"/>
    <mergeCell ref="F3:M3"/>
    <mergeCell ref="O3:Q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T106"/>
  <sheetViews>
    <sheetView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1.28515625" style="10" customWidth="1"/>
    <col min="5" max="6" width="6" style="10" customWidth="1"/>
    <col min="7" max="13" width="2.7109375" style="10" customWidth="1"/>
    <col min="14" max="14" width="4.28515625" style="10" customWidth="1"/>
    <col min="15" max="15" width="6.42578125" style="10" customWidth="1"/>
    <col min="16" max="16" width="12.85546875" style="10" customWidth="1"/>
    <col min="17" max="17" width="12" style="10" customWidth="1"/>
    <col min="18" max="18" width="4.140625" style="10" customWidth="1"/>
    <col min="19" max="19" width="31.42578125" style="10" customWidth="1"/>
    <col min="20" max="20" width="26.140625" style="10" customWidth="1"/>
    <col min="21" max="16384" width="9.140625" style="10"/>
  </cols>
  <sheetData>
    <row r="1" spans="2:20">
      <c r="B1" s="9" t="s">
        <v>45</v>
      </c>
      <c r="C1" s="9"/>
      <c r="D1" s="9" t="s">
        <v>22</v>
      </c>
    </row>
    <row r="2" spans="2:20" ht="15.75" thickBot="1"/>
    <row r="3" spans="2:20" ht="15.75" thickBot="1">
      <c r="B3" s="11" t="s">
        <v>25</v>
      </c>
      <c r="D3" s="12" t="s">
        <v>26</v>
      </c>
      <c r="F3" s="42" t="s">
        <v>24</v>
      </c>
      <c r="G3" s="43"/>
      <c r="H3" s="43"/>
      <c r="I3" s="43"/>
      <c r="J3" s="43"/>
      <c r="K3" s="43"/>
      <c r="L3" s="43"/>
      <c r="M3" s="44"/>
      <c r="O3" s="42" t="s">
        <v>27</v>
      </c>
      <c r="P3" s="43"/>
      <c r="Q3" s="44"/>
      <c r="S3" s="45" t="s">
        <v>32</v>
      </c>
      <c r="T3" s="46"/>
    </row>
    <row r="4" spans="2:20" ht="15.75" thickBot="1">
      <c r="B4" s="13" t="s">
        <v>0</v>
      </c>
      <c r="D4" s="67" t="s">
        <v>12</v>
      </c>
      <c r="E4" s="61"/>
      <c r="F4" s="36" t="s">
        <v>1</v>
      </c>
      <c r="G4" s="15" t="s">
        <v>17</v>
      </c>
      <c r="H4" s="15" t="s">
        <v>14</v>
      </c>
      <c r="I4" s="15" t="s">
        <v>18</v>
      </c>
      <c r="J4" s="15" t="s">
        <v>19</v>
      </c>
      <c r="K4" s="15" t="s">
        <v>20</v>
      </c>
      <c r="L4" s="15" t="s">
        <v>15</v>
      </c>
      <c r="M4" s="16" t="s">
        <v>21</v>
      </c>
      <c r="O4" s="26" t="str">
        <f>INDEX(G4:M4, 1, P4)</f>
        <v>G</v>
      </c>
      <c r="P4" s="35">
        <f>MOD(D11, 7)+1</f>
        <v>7</v>
      </c>
      <c r="Q4" s="37">
        <f>D8</f>
        <v>41773</v>
      </c>
      <c r="R4" s="17"/>
      <c r="S4" s="18" t="s">
        <v>28</v>
      </c>
      <c r="T4" s="19" t="s">
        <v>29</v>
      </c>
    </row>
    <row r="5" spans="2:20">
      <c r="B5" s="7">
        <v>41659</v>
      </c>
      <c r="D5" s="2">
        <v>41645</v>
      </c>
      <c r="E5" s="62"/>
      <c r="F5" s="20">
        <v>1</v>
      </c>
      <c r="G5" s="3">
        <v>1</v>
      </c>
      <c r="H5" s="3">
        <v>5</v>
      </c>
      <c r="I5" s="3">
        <v>2</v>
      </c>
      <c r="J5" s="3">
        <v>6</v>
      </c>
      <c r="K5" s="3">
        <v>3</v>
      </c>
      <c r="L5" s="3">
        <v>8</v>
      </c>
      <c r="M5" s="4">
        <v>4</v>
      </c>
      <c r="O5" s="18" t="s">
        <v>1</v>
      </c>
      <c r="P5" s="27" t="s">
        <v>2</v>
      </c>
      <c r="Q5" s="28" t="s">
        <v>5</v>
      </c>
      <c r="R5" s="21"/>
      <c r="S5" s="47" t="s">
        <v>30</v>
      </c>
      <c r="T5" s="40" t="s">
        <v>37</v>
      </c>
    </row>
    <row r="6" spans="2:20">
      <c r="B6" s="7">
        <v>41687</v>
      </c>
      <c r="D6" s="68" t="s">
        <v>36</v>
      </c>
      <c r="E6" s="63"/>
      <c r="F6" s="20">
        <v>2</v>
      </c>
      <c r="G6" s="3">
        <v>2</v>
      </c>
      <c r="H6" s="3">
        <v>6</v>
      </c>
      <c r="I6" s="3">
        <v>3</v>
      </c>
      <c r="J6" s="3">
        <v>7</v>
      </c>
      <c r="K6" s="3">
        <v>4</v>
      </c>
      <c r="L6" s="3">
        <v>1</v>
      </c>
      <c r="M6" s="4">
        <v>5</v>
      </c>
      <c r="O6" s="29">
        <v>1</v>
      </c>
      <c r="P6" s="30">
        <f>INDEX(G5:M8,O6, P4)</f>
        <v>4</v>
      </c>
      <c r="Q6" s="31" t="str">
        <f>INDEX(Q13:Q20, P6, 1)</f>
        <v>Bible</v>
      </c>
      <c r="R6" s="21"/>
      <c r="S6" s="48"/>
      <c r="T6" s="41" t="s">
        <v>38</v>
      </c>
    </row>
    <row r="7" spans="2:20">
      <c r="B7" s="7">
        <v>41706</v>
      </c>
      <c r="D7" s="69"/>
      <c r="E7" s="64"/>
      <c r="F7" s="20">
        <v>3</v>
      </c>
      <c r="G7" s="3">
        <v>3</v>
      </c>
      <c r="H7" s="3">
        <v>8</v>
      </c>
      <c r="I7" s="3">
        <v>4</v>
      </c>
      <c r="J7" s="3">
        <v>1</v>
      </c>
      <c r="K7" s="3">
        <v>5</v>
      </c>
      <c r="L7" s="3">
        <v>2</v>
      </c>
      <c r="M7" s="4">
        <v>6</v>
      </c>
      <c r="O7" s="29">
        <v>2</v>
      </c>
      <c r="P7" s="30">
        <f>INDEX(G5:M8,O7, P4)</f>
        <v>5</v>
      </c>
      <c r="Q7" s="31" t="str">
        <f>INDEX(Q13:Q20, P7, 1)</f>
        <v>English</v>
      </c>
      <c r="R7" s="21"/>
      <c r="S7" s="47" t="s">
        <v>33</v>
      </c>
      <c r="T7" s="57" t="s">
        <v>43</v>
      </c>
    </row>
    <row r="8" spans="2:20" ht="15.75" thickBot="1">
      <c r="B8" s="7">
        <v>41707</v>
      </c>
      <c r="D8" s="70">
        <v>41773</v>
      </c>
      <c r="E8" s="64"/>
      <c r="F8" s="24">
        <v>4</v>
      </c>
      <c r="G8" s="5">
        <v>4</v>
      </c>
      <c r="H8" s="5">
        <v>1</v>
      </c>
      <c r="I8" s="5">
        <v>5</v>
      </c>
      <c r="J8" s="5">
        <v>2</v>
      </c>
      <c r="K8" s="5">
        <v>6</v>
      </c>
      <c r="L8" s="5">
        <v>3</v>
      </c>
      <c r="M8" s="6">
        <v>7</v>
      </c>
      <c r="O8" s="29">
        <v>3</v>
      </c>
      <c r="P8" s="30">
        <f>INDEX(G5:M8,O8, P4)</f>
        <v>6</v>
      </c>
      <c r="Q8" s="31" t="str">
        <f>INDEX(Q13:Q20, P8, 1)</f>
        <v>Orchestra</v>
      </c>
      <c r="S8" s="48"/>
      <c r="T8" s="58"/>
    </row>
    <row r="9" spans="2:20" ht="15.75" thickBot="1">
      <c r="B9" s="7">
        <v>41708</v>
      </c>
      <c r="D9" s="71"/>
      <c r="E9" s="64"/>
      <c r="O9" s="32">
        <v>4</v>
      </c>
      <c r="P9" s="33">
        <f>INDEX(G5:M8,O9, MOD(D11, 7) +1)</f>
        <v>7</v>
      </c>
      <c r="Q9" s="34" t="str">
        <f>INDEX(Q13:Q20, P9, 1)</f>
        <v>Physics</v>
      </c>
      <c r="S9" s="47" t="s">
        <v>34</v>
      </c>
      <c r="T9" s="57" t="s">
        <v>35</v>
      </c>
    </row>
    <row r="10" spans="2:20" ht="15.75" thickBot="1">
      <c r="B10" s="7">
        <v>41709</v>
      </c>
      <c r="D10" s="68" t="s">
        <v>13</v>
      </c>
      <c r="E10" s="66"/>
      <c r="S10" s="48"/>
      <c r="T10" s="58"/>
    </row>
    <row r="11" spans="2:20" ht="15.75" thickBot="1">
      <c r="B11" s="7">
        <v>41710</v>
      </c>
      <c r="D11" s="25">
        <f>MAX(NETWORKDAYS(D5, D8,B5:B106)-1, 0)</f>
        <v>83</v>
      </c>
      <c r="E11" s="65"/>
      <c r="P11" s="42" t="s">
        <v>23</v>
      </c>
      <c r="Q11" s="44"/>
      <c r="S11" s="47" t="s">
        <v>47</v>
      </c>
      <c r="T11" s="57" t="s">
        <v>31</v>
      </c>
    </row>
    <row r="12" spans="2:20" ht="15.75" thickBot="1">
      <c r="B12" s="7">
        <v>41711</v>
      </c>
      <c r="P12" s="14" t="s">
        <v>3</v>
      </c>
      <c r="Q12" s="74" t="s">
        <v>4</v>
      </c>
      <c r="S12" s="59"/>
      <c r="T12" s="60"/>
    </row>
    <row r="13" spans="2:20" ht="15.75" thickBot="1">
      <c r="B13" s="7">
        <v>41712</v>
      </c>
      <c r="F13" s="66"/>
      <c r="P13" s="20">
        <v>1</v>
      </c>
      <c r="Q13" s="4" t="s">
        <v>7</v>
      </c>
    </row>
    <row r="14" spans="2:20" ht="15.75" thickBot="1">
      <c r="B14" s="7">
        <v>41713</v>
      </c>
      <c r="F14" s="66"/>
      <c r="P14" s="20">
        <v>2</v>
      </c>
      <c r="Q14" s="4" t="s">
        <v>6</v>
      </c>
      <c r="S14" s="42" t="s">
        <v>39</v>
      </c>
      <c r="T14" s="44"/>
    </row>
    <row r="15" spans="2:20">
      <c r="B15" s="7">
        <v>41714</v>
      </c>
      <c r="F15" s="72"/>
      <c r="P15" s="20">
        <v>3</v>
      </c>
      <c r="Q15" s="4" t="s">
        <v>8</v>
      </c>
      <c r="S15" s="49" t="s">
        <v>40</v>
      </c>
      <c r="T15" s="50"/>
    </row>
    <row r="16" spans="2:20">
      <c r="B16" s="7">
        <v>41747</v>
      </c>
      <c r="F16" s="72"/>
      <c r="P16" s="20">
        <v>4</v>
      </c>
      <c r="Q16" s="4" t="s">
        <v>9</v>
      </c>
      <c r="S16" s="51"/>
      <c r="T16" s="52"/>
    </row>
    <row r="17" spans="2:20">
      <c r="B17" s="7">
        <v>41748</v>
      </c>
      <c r="F17" s="72"/>
      <c r="P17" s="20">
        <v>5</v>
      </c>
      <c r="Q17" s="4" t="s">
        <v>10</v>
      </c>
      <c r="S17" s="53" t="s">
        <v>46</v>
      </c>
      <c r="T17" s="54"/>
    </row>
    <row r="18" spans="2:20">
      <c r="B18" s="7">
        <v>41749</v>
      </c>
      <c r="F18" s="72"/>
      <c r="P18" s="20">
        <v>6</v>
      </c>
      <c r="Q18" s="4" t="s">
        <v>11</v>
      </c>
      <c r="S18" s="53"/>
      <c r="T18" s="54"/>
    </row>
    <row r="19" spans="2:20" ht="15.75" thickBot="1">
      <c r="B19" s="7">
        <v>41750</v>
      </c>
      <c r="F19" s="72"/>
      <c r="P19" s="20">
        <v>7</v>
      </c>
      <c r="Q19" s="4" t="s">
        <v>8</v>
      </c>
      <c r="S19" s="55"/>
      <c r="T19" s="56"/>
    </row>
    <row r="20" spans="2:20" ht="15.75" thickBot="1">
      <c r="B20" s="7"/>
      <c r="F20" s="72"/>
      <c r="P20" s="24">
        <v>8</v>
      </c>
      <c r="Q20" s="75" t="s">
        <v>16</v>
      </c>
    </row>
    <row r="21" spans="2:20">
      <c r="B21" s="7"/>
      <c r="F21" s="72"/>
      <c r="O21" s="38"/>
      <c r="P21" s="38"/>
      <c r="Q21" s="39"/>
    </row>
    <row r="22" spans="2:20">
      <c r="B22" s="7"/>
      <c r="F22" s="73"/>
      <c r="O22" s="38"/>
      <c r="P22" s="38"/>
      <c r="Q22" s="39"/>
    </row>
    <row r="23" spans="2:20">
      <c r="B23" s="7"/>
      <c r="O23" s="38"/>
      <c r="P23" s="38"/>
      <c r="Q23" s="39"/>
    </row>
    <row r="24" spans="2:20">
      <c r="B24" s="7"/>
    </row>
    <row r="25" spans="2:20">
      <c r="B25" s="7"/>
    </row>
    <row r="26" spans="2:20">
      <c r="B26" s="7"/>
    </row>
    <row r="27" spans="2:20">
      <c r="B27" s="7"/>
    </row>
    <row r="28" spans="2:20">
      <c r="B28" s="7"/>
    </row>
    <row r="29" spans="2:20">
      <c r="B29" s="7"/>
    </row>
    <row r="30" spans="2:20">
      <c r="B30" s="7"/>
    </row>
    <row r="31" spans="2:20">
      <c r="B31" s="7"/>
    </row>
    <row r="32" spans="2:20">
      <c r="B32" s="7"/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4">
    <mergeCell ref="S17:T19"/>
    <mergeCell ref="S14:T14"/>
    <mergeCell ref="S15:T16"/>
    <mergeCell ref="S9:S10"/>
    <mergeCell ref="T9:T10"/>
    <mergeCell ref="S11:S12"/>
    <mergeCell ref="T11:T12"/>
    <mergeCell ref="P11:Q11"/>
    <mergeCell ref="F3:M3"/>
    <mergeCell ref="O3:Q3"/>
    <mergeCell ref="S3:T3"/>
    <mergeCell ref="S5:S6"/>
    <mergeCell ref="S7:S8"/>
    <mergeCell ref="T7:T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26" sqref="D2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2013-08-24T16:12:27Z</dcterms:modified>
</cp:coreProperties>
</file>