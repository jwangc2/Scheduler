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9" i="3" l="1"/>
  <c r="R10"/>
  <c r="S12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R10" s="1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<sst xmlns="http://schemas.openxmlformats.org/spreadsheetml/2006/main" count="228" uniqueCount="82">
  <si>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</si>
  <si>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</si>
  <si>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</si>
  <si>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</si>
  <si>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</si>
  <si>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</si>
  <si>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</si>
  <si>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</si>
  <si>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</si>
  <si>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</si>
  <si>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</si>
  <si>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</si>
  <si>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</si>
  <si>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</si>
  <si>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</si>
  <si>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</si>
  <si>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</si>
  <si>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</si>
  <si>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</si>
  <si>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</si>
  <si>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</si>
  <si>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</si>
  <si>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</si>
  <si>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</si>
  <si>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</si>
  <si>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</si>
  <si>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</si>
  <si>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</si>
  <si>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</si>
  <si>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Instructions</t>
  </si>
  <si>
    <t>Date to Schedule</t>
  </si>
  <si>
    <t>Disclaimers</t>
  </si>
  <si>
    <t>1. This calculates your schedule on the assumption that it is always rolling from the PAD, except for weekends and holidays.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</si>
  <si>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</si>
  <si>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</si>
  <si>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</si>
  <si>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</si>
  <si>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</si>
  <si>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</si>
  <si>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</si>
  <si>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</si>
  <si>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</si>
  <si>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</si>
  <si>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</si>
  <si>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</si>
  <si>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</si>
  <si>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</si>
  <si>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</si>
  <si>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</si>
  <si>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</si>
  <si>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</si>
  <si>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</si>
  <si>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</si>
  <si>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</si>
  <si>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</si>
  <si>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</si>
  <si>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</si>
  <si>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</si>
  <si>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</si>
  <si>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</si>
  <si>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</si>
  <si>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</si>
  <si>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</si>
  <si>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</si>
  <si>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</si>
  <si>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</si>
  <si>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</si>
  <si>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</si>
  <si>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</si>
  <si>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</si>
  <si>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Time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</si>
  <si>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</si>
  <si>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Weekend</t>
  </si>
  <si>
    <t>1. Fill out course names in Fig. 1 (8 represents your Frees)</t>
  </si>
  <si>
    <t>1. Use the LATEST "A" day (before Date to Schedule) in Fig. 3</t>
  </si>
  <si>
    <t xml:space="preserve">3. Enter date of a Past "A" Day of Sem I in Fig. 3 (e.g 8/15/2013) </t>
  </si>
  <si>
    <t>4. Make sure all the holidays are correctly marked in Fig. 4</t>
  </si>
  <si>
    <t>3. Read the results off of "Result"</t>
  </si>
  <si>
    <t xml:space="preserve">3. Enter date of a Past "A" Day of Sem II in Fig. 3 (e.g 1/6/2014) </t>
  </si>
  <si>
    <t>Handy Buttons (HB)</t>
  </si>
  <si>
    <t>2. Fill out Fig. 2 with period numbers (1-7) from your rot. schedule, or press RESET in HB. Then use 8 to represent any frees. Do include lab frees. For example: If you have 5th free, then all the 5's should be replaced with 8's.</t>
  </si>
  <si>
    <t>2. Enter the date for the desired schedule in Fig. 3 (Press TODAY in HB for today's date)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</si>
</sst>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/>
    </xf>
    <xf numFmtId="164" fontId="0" fillId="2" borderId="7" xfId="0" applyNumberFormat="1" applyFill="1" applyBorder="1" applyAlignment="1" applyProtection="1">
      <alignment horizontal="center"/>
    </xf>
    <xf numFmtId="164" fontId="0" fillId="2" borderId="8" xfId="0" applyNumberForma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0" fontId="0" fillId="0" borderId="0" xfId="0" applyFill="1" applyBorder="1" applyAlignment="1" applyProtection="1">
      <alignment wrapText="1"/>
    </xf>
    <xf numFmtId="0" fontId="2" fillId="0" borderId="40" xfId="0" applyFont="1" applyBorder="1" applyAlignment="1" applyProtection="1">
      <alignment horizontal="center"/>
    </xf>
    <xf numFmtId="0" fontId="2" fillId="0" borderId="35" xfId="0" applyFont="1" applyBorder="1" applyAlignment="1" applyProtection="1">
      <alignment horizontal="center"/>
    </xf>
    <xf numFmtId="0" fontId="2" fillId="0" borderId="41" xfId="0" applyFont="1" applyBorder="1" applyAlignment="1" applyProtection="1">
      <alignment horizontal="center"/>
    </xf>
    <xf numFmtId="0" fontId="2" fillId="0" borderId="42" xfId="0" applyFont="1" applyBorder="1" applyAlignment="1" applyProtection="1">
      <alignment horizontal="center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 wrapText="1"/>
    </xf>
    <xf numFmtId="0" fontId="0" fillId="4" borderId="19" xfId="0" applyFill="1" applyBorder="1" applyAlignment="1" applyProtection="1">
      <alignment horizontal="center" wrapText="1"/>
    </xf>
    <xf numFmtId="0" fontId="0" fillId="6" borderId="7" xfId="0" applyFill="1" applyBorder="1" applyAlignment="1" applyProtection="1">
      <alignment horizontal="center" wrapText="1"/>
    </xf>
    <xf numFmtId="0" fontId="0" fillId="6" borderId="8" xfId="0" applyFill="1" applyBorder="1" applyAlignment="1" applyProtection="1">
      <alignment horizontal="center" wrapText="1"/>
    </xf>
    <xf numFmtId="0" fontId="1" fillId="5" borderId="16" xfId="0" applyFont="1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0" fillId="7" borderId="18" xfId="0" applyFill="1" applyBorder="1" applyAlignment="1" applyProtection="1">
      <alignment horizontal="center"/>
    </xf>
    <xf numFmtId="0" fontId="0" fillId="7" borderId="19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7" borderId="8" xfId="0" applyFill="1" applyBorder="1" applyAlignment="1" applyProtection="1">
      <alignment horizontal="center"/>
    </xf>
    <xf numFmtId="0" fontId="0" fillId="4" borderId="44" xfId="0" applyFill="1" applyBorder="1" applyAlignment="1" applyProtection="1">
      <alignment horizontal="left" wrapText="1"/>
    </xf>
    <xf numFmtId="0" fontId="0" fillId="4" borderId="37" xfId="0" applyFill="1" applyBorder="1" applyAlignment="1" applyProtection="1">
      <alignment horizontal="left" wrapText="1"/>
    </xf>
    <xf numFmtId="0" fontId="0" fillId="4" borderId="32" xfId="0" applyFill="1" applyBorder="1" applyAlignment="1" applyProtection="1">
      <alignment horizontal="left" wrapText="1"/>
    </xf>
    <xf numFmtId="0" fontId="0" fillId="4" borderId="45" xfId="0" applyFill="1" applyBorder="1" applyAlignment="1" applyProtection="1">
      <alignment horizontal="left" wrapText="1"/>
    </xf>
    <xf numFmtId="0" fontId="0" fillId="4" borderId="0" xfId="0" applyFill="1" applyBorder="1" applyAlignment="1" applyProtection="1">
      <alignment horizontal="left" wrapText="1"/>
    </xf>
    <xf numFmtId="0" fontId="0" fillId="4" borderId="46" xfId="0" applyFill="1" applyBorder="1" applyAlignment="1" applyProtection="1">
      <alignment horizontal="left" wrapText="1"/>
    </xf>
    <xf numFmtId="0" fontId="0" fillId="4" borderId="47" xfId="0" applyFill="1" applyBorder="1" applyAlignment="1" applyProtection="1">
      <alignment horizontal="left" wrapText="1"/>
    </xf>
    <xf numFmtId="0" fontId="0" fillId="4" borderId="33" xfId="0" applyFill="1" applyBorder="1" applyAlignment="1" applyProtection="1">
      <alignment horizontal="left" wrapText="1"/>
    </xf>
    <xf numFmtId="0" fontId="0" fillId="4" borderId="11" xfId="0" applyFill="1" applyBorder="1" applyAlignment="1" applyProtection="1">
      <alignment horizontal="left" wrapText="1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left" wrapText="1"/>
    </xf>
    <xf numFmtId="0" fontId="0" fillId="6" borderId="1" xfId="0" applyFill="1" applyBorder="1" applyAlignment="1" applyProtection="1">
      <alignment horizontal="left" wrapText="1"/>
    </xf>
    <xf numFmtId="0" fontId="0" fillId="4" borderId="36" xfId="0" applyFill="1" applyBorder="1" applyAlignment="1" applyProtection="1">
      <alignment horizontal="left" wrapText="1"/>
    </xf>
    <xf numFmtId="0" fontId="0" fillId="4" borderId="38" xfId="0" applyFill="1" applyBorder="1" applyAlignment="1" applyProtection="1">
      <alignment horizontal="left" wrapText="1"/>
    </xf>
    <xf numFmtId="0" fontId="0" fillId="4" borderId="39" xfId="0" applyFill="1" applyBorder="1" applyAlignment="1" applyProtection="1">
      <alignment horizontal="left" wrapText="1"/>
    </xf>
    <xf numFmtId="0" fontId="0" fillId="4" borderId="30" xfId="0" applyFill="1" applyBorder="1" applyAlignment="1" applyProtection="1">
      <alignment horizontal="left" wrapText="1"/>
    </xf>
    <xf numFmtId="0" fontId="0" fillId="4" borderId="18" xfId="0" applyFill="1" applyBorder="1" applyAlignment="1" applyProtection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</xf>
    <xf numFmtId="0" fontId="0" fillId="6" borderId="19" xfId="0" applyFill="1" applyBorder="1" applyAlignment="1" applyProtection="1">
      <alignment horizontal="left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0" fillId="4" borderId="9" xfId="0" applyFill="1" applyBorder="1" applyAlignment="1" applyProtection="1">
      <alignment horizontal="left" wrapText="1"/>
    </xf>
    <xf numFmtId="0" fontId="0" fillId="4" borderId="34" xfId="0" applyFill="1" applyBorder="1" applyAlignment="1" applyProtection="1">
      <alignment horizontal="left" wrapText="1"/>
    </xf>
    <xf numFmtId="0" fontId="0" fillId="4" borderId="10" xfId="0" applyFill="1" applyBorder="1" applyAlignment="1" applyProtection="1">
      <alignment horizontal="left" wrapText="1"/>
    </xf>
    <xf numFmtId="0" fontId="0" fillId="4" borderId="43" xfId="0" applyFill="1" applyBorder="1" applyAlignment="1" applyProtection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20" ht="15.75" thickBot="1"/>
    <row r="2" spans="2:20" ht="15.75" thickBot="1">
      <c r="B2" s="71" t="s">
        <v>33</v>
      </c>
      <c r="C2" s="72"/>
      <c r="E2" s="97" t="s">
        <v>29</v>
      </c>
      <c r="F2" s="98"/>
      <c r="G2" s="98"/>
      <c r="H2" s="98"/>
      <c r="I2" s="98"/>
      <c r="J2" s="98"/>
      <c r="K2" s="98"/>
      <c r="L2" s="99"/>
      <c r="N2" s="75" t="s">
        <v>31</v>
      </c>
      <c r="O2" s="76"/>
      <c r="P2" s="76"/>
      <c r="Q2" s="76"/>
      <c r="R2" s="76"/>
      <c r="S2" s="77"/>
      <c r="T2" s="69"/>
    </row>
    <row r="3" spans="2:20" ht="15.75" customHeight="1" thickBot="1">
      <c r="B3" s="73" t="s">
        <v>21</v>
      </c>
      <c r="C3" s="74"/>
      <c r="E3" s="100" t="s">
        <v>27</v>
      </c>
      <c r="F3" s="101"/>
      <c r="G3" s="101"/>
      <c r="H3" s="101"/>
      <c r="I3" s="101"/>
      <c r="J3" s="101" t="s">
        <v>28</v>
      </c>
      <c r="K3" s="101"/>
      <c r="L3" s="102"/>
      <c r="N3" s="114" t="s">
        <v>32</v>
      </c>
      <c r="O3" s="115"/>
      <c r="P3" s="115"/>
      <c r="Q3" s="115"/>
      <c r="R3" s="115"/>
      <c r="S3" s="116"/>
      <c r="T3" s="70"/>
    </row>
    <row r="4" spans="2:20" ht="15" customHeight="1" thickBot="1">
      <c r="E4" s="103" t="s">
        <v>73</v>
      </c>
      <c r="F4" s="104"/>
      <c r="G4" s="104"/>
      <c r="H4" s="104"/>
      <c r="I4" s="104"/>
      <c r="J4" s="105" t="s">
        <v>71</v>
      </c>
      <c r="K4" s="89"/>
      <c r="L4" s="90"/>
      <c r="N4" s="117"/>
      <c r="O4" s="107"/>
      <c r="P4" s="107"/>
      <c r="Q4" s="107"/>
      <c r="R4" s="107"/>
      <c r="S4" s="108"/>
      <c r="T4" s="70"/>
    </row>
    <row r="5" spans="2:20" ht="15" customHeight="1">
      <c r="B5" s="82" t="s">
        <v>79</v>
      </c>
      <c r="C5" s="83"/>
      <c r="E5" s="109" t="s">
        <v>80</v>
      </c>
      <c r="F5" s="110"/>
      <c r="G5" s="110"/>
      <c r="H5" s="110"/>
      <c r="I5" s="110"/>
      <c r="J5" s="106"/>
      <c r="K5" s="107"/>
      <c r="L5" s="108"/>
      <c r="N5" s="88" t="s">
        <v>49</v>
      </c>
      <c r="O5" s="89"/>
      <c r="P5" s="89"/>
      <c r="Q5" s="89"/>
      <c r="R5" s="89"/>
      <c r="S5" s="90"/>
      <c r="T5" s="70"/>
    </row>
    <row r="6" spans="2:20" ht="15" customHeight="1">
      <c r="B6" s="84"/>
      <c r="C6" s="85"/>
      <c r="E6" s="109"/>
      <c r="F6" s="110"/>
      <c r="G6" s="110"/>
      <c r="H6" s="110"/>
      <c r="I6" s="110"/>
      <c r="J6" s="104" t="s">
        <v>74</v>
      </c>
      <c r="K6" s="104"/>
      <c r="L6" s="111"/>
      <c r="N6" s="91"/>
      <c r="O6" s="92"/>
      <c r="P6" s="92"/>
      <c r="Q6" s="92"/>
      <c r="R6" s="92"/>
      <c r="S6" s="93"/>
      <c r="T6" s="70"/>
    </row>
    <row r="7" spans="2:20" ht="15.75" thickBot="1">
      <c r="B7" s="86"/>
      <c r="C7" s="87"/>
      <c r="E7" s="109"/>
      <c r="F7" s="110"/>
      <c r="G7" s="110"/>
      <c r="H7" s="110"/>
      <c r="I7" s="110"/>
      <c r="J7" s="104"/>
      <c r="K7" s="104"/>
      <c r="L7" s="111"/>
      <c r="N7" s="94"/>
      <c r="O7" s="95"/>
      <c r="P7" s="95"/>
      <c r="Q7" s="95"/>
      <c r="R7" s="95"/>
      <c r="S7" s="96"/>
      <c r="T7" s="70"/>
    </row>
    <row r="8" spans="2:20" ht="15.75" customHeight="1" thickBot="1">
      <c r="E8" s="109"/>
      <c r="F8" s="110"/>
      <c r="G8" s="110"/>
      <c r="H8" s="110"/>
      <c r="I8" s="110"/>
      <c r="J8" s="78" t="s">
        <v>81</v>
      </c>
      <c r="K8" s="78"/>
      <c r="L8" s="79"/>
    </row>
    <row r="9" spans="2:20" ht="15.75" thickBot="1">
      <c r="B9" s="75" t="s">
        <v>22</v>
      </c>
      <c r="C9" s="77"/>
      <c r="E9" s="103" t="s">
        <v>75</v>
      </c>
      <c r="F9" s="104"/>
      <c r="G9" s="104"/>
      <c r="H9" s="104"/>
      <c r="I9" s="104"/>
      <c r="J9" s="78"/>
      <c r="K9" s="78"/>
      <c r="L9" s="79"/>
      <c r="N9" s="11" t="s">
        <v>24</v>
      </c>
      <c r="P9" s="75" t="s">
        <v>26</v>
      </c>
      <c r="Q9" s="76"/>
      <c r="R9" s="76"/>
      <c r="S9" s="77"/>
    </row>
    <row r="10" spans="2:20" ht="15.75" customHeight="1" thickBot="1">
      <c r="B10" s="13" t="s">
        <v>2</v>
      </c>
      <c r="C10" s="34" t="s">
        <v>3</v>
      </c>
      <c r="E10" s="103"/>
      <c r="F10" s="104"/>
      <c r="G10" s="104"/>
      <c r="H10" s="104"/>
      <c r="I10" s="104"/>
      <c r="J10" s="78"/>
      <c r="K10" s="78"/>
      <c r="L10" s="79"/>
      <c r="N10" s="24" t="s">
        <v>11</v>
      </c>
      <c r="P10" s="46" t="str">
        <f>INDEX(F15:L15, 1, Q10)</f>
        <v>G</v>
      </c>
      <c r="Q10" s="58">
        <f>MOD(N17, 7)+1</f>
        <v>7</v>
      </c>
      <c r="R10" s="59" t="str">
        <f>CHOOSE(N19, "Sunday", "Monday", "Tuesday", "Wednesday", "Thursday", "Friday", "Saturday")</f>
        <v>Friday</v>
      </c>
      <c r="S10" s="60">
        <f>N14</f>
        <v>41509</v>
      </c>
    </row>
    <row r="11" spans="2:20" ht="15.75" thickBot="1">
      <c r="B11" s="16">
        <v>0</v>
      </c>
      <c r="C11" s="35" t="s">
        <v>72</v>
      </c>
      <c r="E11" s="112" t="s">
        <v>76</v>
      </c>
      <c r="F11" s="113"/>
      <c r="G11" s="113"/>
      <c r="H11" s="113"/>
      <c r="I11" s="113"/>
      <c r="J11" s="80" t="s">
        <v>77</v>
      </c>
      <c r="K11" s="80"/>
      <c r="L11" s="81"/>
      <c r="N11" s="2">
        <v>41501</v>
      </c>
      <c r="P11" s="47" t="s">
        <v>1</v>
      </c>
      <c r="Q11" s="48" t="s">
        <v>2</v>
      </c>
      <c r="R11" s="61" t="s">
        <v>4</v>
      </c>
      <c r="S11" s="62" t="s">
        <v>70</v>
      </c>
    </row>
    <row r="12" spans="2:20">
      <c r="B12" s="16">
        <v>1</v>
      </c>
      <c r="C12" s="36" t="s">
        <v>6</v>
      </c>
      <c r="E12" s="33"/>
      <c r="N12" s="25" t="s">
        <v>30</v>
      </c>
      <c r="P12" s="19">
        <v>0.5</v>
      </c>
      <c r="Q12" s="49">
        <f>INDEX(F23:L26, 1, N19)</f>
        <v>9</v>
      </c>
      <c r="R12" s="63" t="str">
        <f>INDEX(C11:C26, Q12+1, 1)</f>
        <v>Office Hours</v>
      </c>
      <c r="S12" s="64" t="str">
        <f>INDEX(F30:L33, 1, N19)</f>
        <v>8:00-8:30</v>
      </c>
    </row>
    <row r="13" spans="2:20" ht="15.75" thickBot="1">
      <c r="B13" s="16">
        <f>B12+1</f>
        <v>2</v>
      </c>
      <c r="C13" s="36" t="s">
        <v>5</v>
      </c>
      <c r="E13" s="9"/>
      <c r="N13" s="26"/>
      <c r="P13" s="50">
        <v>1</v>
      </c>
      <c r="Q13" s="51">
        <f>INDEX(F16:L19,P13, Q10)</f>
        <v>4</v>
      </c>
      <c r="R13" s="65" t="str">
        <f>INDEX(C12:C19, Q13, 1)</f>
        <v>Bible</v>
      </c>
      <c r="S13" s="66" t="str">
        <f>INDEX(F34:L37, P13, N19)</f>
        <v>8:30-9:40</v>
      </c>
    </row>
    <row r="14" spans="2:20" ht="15.75" customHeight="1" thickBot="1">
      <c r="B14" s="16">
        <f t="shared" ref="B14:B26" si="0">B13+1</f>
        <v>3</v>
      </c>
      <c r="C14" s="36" t="s">
        <v>7</v>
      </c>
      <c r="E14" s="75" t="s">
        <v>23</v>
      </c>
      <c r="F14" s="76"/>
      <c r="G14" s="76"/>
      <c r="H14" s="76"/>
      <c r="I14" s="76"/>
      <c r="J14" s="76"/>
      <c r="K14" s="76"/>
      <c r="L14" s="77"/>
      <c r="N14" s="27">
        <v>41509</v>
      </c>
      <c r="P14" s="19">
        <v>1.5</v>
      </c>
      <c r="Q14" s="52">
        <f>INDEX(F23:L26, 2, N19)</f>
        <v>12</v>
      </c>
      <c r="R14" s="63" t="str">
        <f>INDEX(C11:C26, Q14+1, 1)</f>
        <v>ADV</v>
      </c>
      <c r="S14" s="64" t="str">
        <f>INDEX(F30:L33, 2, N19)</f>
        <v>9:40-9:55</v>
      </c>
    </row>
    <row r="15" spans="2:20">
      <c r="B15" s="16">
        <f t="shared" si="0"/>
        <v>4</v>
      </c>
      <c r="C15" s="36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50">
        <v>2</v>
      </c>
      <c r="Q15" s="51">
        <f>INDEX(F16:L19,P15, Q10)</f>
        <v>8</v>
      </c>
      <c r="R15" s="65" t="str">
        <f>INDEX(C12:C19, Q15, 1)</f>
        <v>Free</v>
      </c>
      <c r="S15" s="66" t="str">
        <f>INDEX(F34:L37, P15, N19)</f>
        <v>9:55-11:05</v>
      </c>
    </row>
    <row r="16" spans="2:20" ht="15" customHeight="1">
      <c r="B16" s="16">
        <f t="shared" si="0"/>
        <v>5</v>
      </c>
      <c r="C16" s="36" t="s">
        <v>9</v>
      </c>
      <c r="E16" s="16">
        <v>1</v>
      </c>
      <c r="F16" s="3">
        <v>1</v>
      </c>
      <c r="G16" s="3">
        <v>8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2" t="s">
        <v>12</v>
      </c>
      <c r="P16" s="50">
        <v>3</v>
      </c>
      <c r="Q16" s="51">
        <f>INDEX(F16:L19,P17,Q10)</f>
        <v>6</v>
      </c>
      <c r="R16" s="65" t="str">
        <f>INDEX(C12:C19, Q16, 1)</f>
        <v>Orchestra</v>
      </c>
      <c r="S16" s="66" t="str">
        <f>INDEX(F34:L37, P16, N19)</f>
        <v>11:05-1:10</v>
      </c>
    </row>
    <row r="17" spans="2:19" ht="15.75" thickBot="1">
      <c r="B17" s="16">
        <f t="shared" si="0"/>
        <v>6</v>
      </c>
      <c r="C17" s="36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8</v>
      </c>
      <c r="N17" s="18">
        <f>MAX(NETWORKDAYS(N11, N14,N23:N124)-1, 0)</f>
        <v>6</v>
      </c>
      <c r="P17" s="19">
        <v>3.5</v>
      </c>
      <c r="Q17" s="52">
        <f>INDEX(F23:L26, 3, N19)</f>
        <v>10</v>
      </c>
      <c r="R17" s="63" t="str">
        <f>INDEX(C11:C26, Q17+1, 1)</f>
        <v>Break</v>
      </c>
      <c r="S17" s="64" t="str">
        <f>INDEX(F30:L33, 3, N19)</f>
        <v>1:10-1:20</v>
      </c>
    </row>
    <row r="18" spans="2:19">
      <c r="B18" s="16">
        <f t="shared" si="0"/>
        <v>7</v>
      </c>
      <c r="C18" s="36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8</v>
      </c>
      <c r="K18" s="3">
        <v>2</v>
      </c>
      <c r="L18" s="4">
        <v>6</v>
      </c>
      <c r="N18" s="32" t="s">
        <v>35</v>
      </c>
      <c r="P18" s="50">
        <v>4</v>
      </c>
      <c r="Q18" s="51">
        <f>INDEX(F16:L19,P18, Q10)</f>
        <v>7</v>
      </c>
      <c r="R18" s="65" t="str">
        <f>INDEX(C12:C19, Q18, 1)</f>
        <v>Physics</v>
      </c>
      <c r="S18" s="66" t="str">
        <f>INDEX(F34:L37, P18, N19)</f>
        <v>1:20-2:30</v>
      </c>
    </row>
    <row r="19" spans="2:19" ht="15.75" thickBot="1">
      <c r="B19" s="16">
        <f t="shared" si="0"/>
        <v>8</v>
      </c>
      <c r="C19" s="37" t="s">
        <v>15</v>
      </c>
      <c r="E19" s="17">
        <v>4</v>
      </c>
      <c r="F19" s="5">
        <v>4</v>
      </c>
      <c r="G19" s="5">
        <v>1</v>
      </c>
      <c r="H19" s="5">
        <v>8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6</v>
      </c>
      <c r="P19" s="20">
        <v>4.5</v>
      </c>
      <c r="Q19" s="53">
        <f>INDEX(F23:L26, 4, N19)</f>
        <v>0</v>
      </c>
      <c r="R19" s="67" t="str">
        <f>INDEX(C11:C26, Q19+1, 1)</f>
        <v>Weekend</v>
      </c>
      <c r="S19" s="68">
        <f>INDEX(F30:L33, 4, N19)</f>
        <v>0</v>
      </c>
    </row>
    <row r="20" spans="2:19" ht="15.75" thickBot="1">
      <c r="B20" s="16">
        <f t="shared" si="0"/>
        <v>9</v>
      </c>
      <c r="C20" s="38" t="s">
        <v>36</v>
      </c>
      <c r="G20" s="29"/>
      <c r="P20" s="22"/>
      <c r="R20" s="23"/>
    </row>
    <row r="21" spans="2:19" ht="15.75" thickBot="1">
      <c r="B21" s="16">
        <f t="shared" si="0"/>
        <v>10</v>
      </c>
      <c r="C21" s="38" t="s">
        <v>37</v>
      </c>
      <c r="E21" s="75" t="s">
        <v>43</v>
      </c>
      <c r="F21" s="76"/>
      <c r="G21" s="76"/>
      <c r="H21" s="76"/>
      <c r="I21" s="76"/>
      <c r="J21" s="76"/>
      <c r="K21" s="76"/>
      <c r="L21" s="77"/>
      <c r="N21" s="10" t="s">
        <v>25</v>
      </c>
      <c r="P21" s="22"/>
      <c r="R21" s="23"/>
    </row>
    <row r="22" spans="2:19">
      <c r="B22" s="16">
        <f t="shared" si="0"/>
        <v>11</v>
      </c>
      <c r="C22" s="38" t="s">
        <v>38</v>
      </c>
      <c r="E22" s="13" t="s">
        <v>1</v>
      </c>
      <c r="F22" s="40" t="s">
        <v>44</v>
      </c>
      <c r="G22" s="40" t="s">
        <v>45</v>
      </c>
      <c r="H22" s="40" t="s">
        <v>46</v>
      </c>
      <c r="I22" s="40" t="s">
        <v>47</v>
      </c>
      <c r="J22" s="40" t="s">
        <v>48</v>
      </c>
      <c r="K22" s="40" t="s">
        <v>14</v>
      </c>
      <c r="L22" s="30" t="s">
        <v>44</v>
      </c>
      <c r="N22" s="12" t="s">
        <v>0</v>
      </c>
    </row>
    <row r="23" spans="2:19">
      <c r="B23" s="16">
        <f t="shared" si="0"/>
        <v>12</v>
      </c>
      <c r="C23" s="38" t="s">
        <v>39</v>
      </c>
      <c r="E23" s="41">
        <v>0.5</v>
      </c>
      <c r="F23" s="42">
        <v>0</v>
      </c>
      <c r="G23" s="42">
        <v>9</v>
      </c>
      <c r="H23" s="42">
        <v>13</v>
      </c>
      <c r="I23" s="42">
        <v>14</v>
      </c>
      <c r="J23" s="42">
        <v>13</v>
      </c>
      <c r="K23" s="42">
        <v>9</v>
      </c>
      <c r="L23" s="43">
        <v>0</v>
      </c>
      <c r="N23" s="7">
        <v>41459</v>
      </c>
    </row>
    <row r="24" spans="2:19">
      <c r="B24" s="16">
        <f t="shared" si="0"/>
        <v>13</v>
      </c>
      <c r="C24" s="38" t="s">
        <v>40</v>
      </c>
      <c r="E24" s="41">
        <v>1.5</v>
      </c>
      <c r="F24" s="42">
        <v>0</v>
      </c>
      <c r="G24" s="42">
        <v>10</v>
      </c>
      <c r="H24" s="42">
        <v>10</v>
      </c>
      <c r="I24" s="42">
        <v>10</v>
      </c>
      <c r="J24" s="42">
        <v>11</v>
      </c>
      <c r="K24" s="42">
        <v>12</v>
      </c>
      <c r="L24" s="43">
        <v>0</v>
      </c>
      <c r="N24" s="7">
        <v>41519</v>
      </c>
    </row>
    <row r="25" spans="2:19">
      <c r="B25" s="16">
        <f t="shared" si="0"/>
        <v>14</v>
      </c>
      <c r="C25" s="38" t="s">
        <v>41</v>
      </c>
      <c r="E25" s="41">
        <v>3.5</v>
      </c>
      <c r="F25" s="42">
        <v>0</v>
      </c>
      <c r="G25" s="42">
        <v>15</v>
      </c>
      <c r="H25" s="42">
        <v>15</v>
      </c>
      <c r="I25" s="42">
        <v>10</v>
      </c>
      <c r="J25" s="42">
        <v>10</v>
      </c>
      <c r="K25" s="42">
        <v>10</v>
      </c>
      <c r="L25" s="43">
        <v>0</v>
      </c>
      <c r="N25" s="7">
        <v>41561</v>
      </c>
    </row>
    <row r="26" spans="2:19" ht="15.75" thickBot="1">
      <c r="B26" s="17">
        <f t="shared" si="0"/>
        <v>15</v>
      </c>
      <c r="C26" s="39" t="s">
        <v>42</v>
      </c>
      <c r="E26" s="44">
        <v>4.5</v>
      </c>
      <c r="F26" s="45">
        <v>0</v>
      </c>
      <c r="G26" s="45">
        <v>9</v>
      </c>
      <c r="H26" s="45">
        <v>9</v>
      </c>
      <c r="I26" s="45">
        <v>9</v>
      </c>
      <c r="J26" s="45">
        <v>9</v>
      </c>
      <c r="K26" s="45">
        <v>0</v>
      </c>
      <c r="L26" s="31">
        <v>0</v>
      </c>
      <c r="N26" s="7">
        <v>41563</v>
      </c>
    </row>
    <row r="27" spans="2:19" ht="15.75" thickBot="1">
      <c r="N27" s="7">
        <v>41565</v>
      </c>
    </row>
    <row r="28" spans="2:19" ht="15.75" thickBot="1">
      <c r="E28" s="75" t="s">
        <v>51</v>
      </c>
      <c r="F28" s="76"/>
      <c r="G28" s="76"/>
      <c r="H28" s="76"/>
      <c r="I28" s="76"/>
      <c r="J28" s="76"/>
      <c r="K28" s="76"/>
      <c r="L28" s="77"/>
      <c r="N28" s="7">
        <v>41575</v>
      </c>
    </row>
    <row r="29" spans="2:19">
      <c r="E29" s="13" t="s">
        <v>1</v>
      </c>
      <c r="F29" s="40" t="s">
        <v>44</v>
      </c>
      <c r="G29" s="40" t="s">
        <v>45</v>
      </c>
      <c r="H29" s="40" t="s">
        <v>46</v>
      </c>
      <c r="I29" s="40" t="s">
        <v>47</v>
      </c>
      <c r="J29" s="40" t="s">
        <v>48</v>
      </c>
      <c r="K29" s="40" t="s">
        <v>14</v>
      </c>
      <c r="L29" s="30" t="s">
        <v>44</v>
      </c>
      <c r="N29" s="7">
        <v>41603</v>
      </c>
    </row>
    <row r="30" spans="2:19">
      <c r="E30" s="16">
        <v>0.5</v>
      </c>
      <c r="F30" s="54">
        <v>0</v>
      </c>
      <c r="G30" s="54" t="s">
        <v>52</v>
      </c>
      <c r="H30" s="54" t="s">
        <v>53</v>
      </c>
      <c r="I30" s="54" t="s">
        <v>54</v>
      </c>
      <c r="J30" s="54" t="s">
        <v>53</v>
      </c>
      <c r="K30" s="54" t="s">
        <v>52</v>
      </c>
      <c r="L30" s="55">
        <v>0</v>
      </c>
      <c r="N30" s="7">
        <v>41604</v>
      </c>
    </row>
    <row r="31" spans="2:19">
      <c r="E31" s="16">
        <v>1.5</v>
      </c>
      <c r="F31" s="54">
        <v>0</v>
      </c>
      <c r="G31" s="54" t="s">
        <v>55</v>
      </c>
      <c r="H31" s="54" t="s">
        <v>55</v>
      </c>
      <c r="I31" s="54" t="s">
        <v>56</v>
      </c>
      <c r="J31" s="54" t="s">
        <v>57</v>
      </c>
      <c r="K31" s="54" t="s">
        <v>55</v>
      </c>
      <c r="L31" s="55">
        <v>0</v>
      </c>
      <c r="N31" s="7">
        <v>41605</v>
      </c>
    </row>
    <row r="32" spans="2:19">
      <c r="E32" s="16">
        <v>3.5</v>
      </c>
      <c r="F32" s="54">
        <v>0</v>
      </c>
      <c r="G32" s="54" t="s">
        <v>58</v>
      </c>
      <c r="H32" s="54" t="s">
        <v>58</v>
      </c>
      <c r="I32" s="54" t="s">
        <v>59</v>
      </c>
      <c r="J32" s="54" t="s">
        <v>59</v>
      </c>
      <c r="K32" s="54" t="s">
        <v>60</v>
      </c>
      <c r="L32" s="55">
        <v>0</v>
      </c>
      <c r="N32" s="7">
        <v>41606</v>
      </c>
    </row>
    <row r="33" spans="5:14">
      <c r="E33" s="16">
        <v>4.5</v>
      </c>
      <c r="F33" s="54">
        <v>0</v>
      </c>
      <c r="G33" s="54" t="s">
        <v>61</v>
      </c>
      <c r="H33" s="54" t="s">
        <v>61</v>
      </c>
      <c r="I33" s="54" t="s">
        <v>61</v>
      </c>
      <c r="J33" s="54" t="s">
        <v>61</v>
      </c>
      <c r="K33" s="54">
        <v>0</v>
      </c>
      <c r="L33" s="55">
        <v>0</v>
      </c>
      <c r="N33" s="7">
        <v>41607</v>
      </c>
    </row>
    <row r="34" spans="5:14">
      <c r="E34" s="16">
        <v>1</v>
      </c>
      <c r="F34" s="54">
        <v>0</v>
      </c>
      <c r="G34" s="54" t="s">
        <v>62</v>
      </c>
      <c r="H34" s="54" t="s">
        <v>62</v>
      </c>
      <c r="I34" s="54" t="s">
        <v>63</v>
      </c>
      <c r="J34" s="54" t="s">
        <v>62</v>
      </c>
      <c r="K34" s="54" t="s">
        <v>62</v>
      </c>
      <c r="L34" s="55">
        <v>0</v>
      </c>
      <c r="N34" s="7"/>
    </row>
    <row r="35" spans="5:14">
      <c r="E35" s="16">
        <v>2</v>
      </c>
      <c r="F35" s="54">
        <v>0</v>
      </c>
      <c r="G35" s="54" t="s">
        <v>64</v>
      </c>
      <c r="H35" s="54" t="s">
        <v>64</v>
      </c>
      <c r="I35" s="54" t="s">
        <v>65</v>
      </c>
      <c r="J35" s="54" t="s">
        <v>65</v>
      </c>
      <c r="K35" s="54" t="s">
        <v>64</v>
      </c>
      <c r="L35" s="55">
        <v>0</v>
      </c>
      <c r="N35" s="7"/>
    </row>
    <row r="36" spans="5:14">
      <c r="E36" s="16">
        <v>3</v>
      </c>
      <c r="F36" s="54">
        <v>0</v>
      </c>
      <c r="G36" s="54" t="s">
        <v>66</v>
      </c>
      <c r="H36" s="54" t="s">
        <v>66</v>
      </c>
      <c r="I36" s="54" t="s">
        <v>67</v>
      </c>
      <c r="J36" s="54" t="s">
        <v>67</v>
      </c>
      <c r="K36" s="54" t="s">
        <v>66</v>
      </c>
      <c r="L36" s="55">
        <v>0</v>
      </c>
      <c r="N36" s="7"/>
    </row>
    <row r="37" spans="5:14" ht="15.75" thickBot="1">
      <c r="E37" s="17">
        <v>4</v>
      </c>
      <c r="F37" s="56">
        <v>0</v>
      </c>
      <c r="G37" s="56" t="s">
        <v>68</v>
      </c>
      <c r="H37" s="56" t="s">
        <v>68</v>
      </c>
      <c r="I37" s="56" t="s">
        <v>68</v>
      </c>
      <c r="J37" s="56" t="s">
        <v>68</v>
      </c>
      <c r="K37" s="56" t="s">
        <v>69</v>
      </c>
      <c r="L37" s="57">
        <v>0</v>
      </c>
      <c r="N37" s="7"/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3">
    <mergeCell ref="N2:S2"/>
    <mergeCell ref="N3:S4"/>
    <mergeCell ref="J4:L5"/>
    <mergeCell ref="E5:I8"/>
    <mergeCell ref="J6:L7"/>
    <mergeCell ref="E9:I10"/>
    <mergeCell ref="E11:I11"/>
    <mergeCell ref="B2:C2"/>
    <mergeCell ref="B3:C3"/>
    <mergeCell ref="E28:L28"/>
    <mergeCell ref="P9:S9"/>
    <mergeCell ref="E21:L21"/>
    <mergeCell ref="E14:L14"/>
    <mergeCell ref="B9:C9"/>
    <mergeCell ref="J8:L10"/>
    <mergeCell ref="J11:L11"/>
    <mergeCell ref="B5:C5"/>
    <mergeCell ref="B6:C7"/>
    <mergeCell ref="N5:S7"/>
    <mergeCell ref="E2:L2"/>
    <mergeCell ref="E3:I3"/>
    <mergeCell ref="J3:L3"/>
    <mergeCell ref="E4:I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T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3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20" ht="15.75" thickBot="1"/>
    <row r="2" spans="2:20" ht="15.75" thickBot="1">
      <c r="B2" s="71" t="s">
        <v>34</v>
      </c>
      <c r="C2" s="72"/>
      <c r="E2" s="97" t="s">
        <v>29</v>
      </c>
      <c r="F2" s="98"/>
      <c r="G2" s="98"/>
      <c r="H2" s="98"/>
      <c r="I2" s="98"/>
      <c r="J2" s="98"/>
      <c r="K2" s="98"/>
      <c r="L2" s="99"/>
      <c r="N2" s="75" t="s">
        <v>31</v>
      </c>
      <c r="O2" s="76"/>
      <c r="P2" s="76"/>
      <c r="Q2" s="76"/>
      <c r="R2" s="76"/>
      <c r="S2" s="77"/>
      <c r="T2" s="69"/>
    </row>
    <row r="3" spans="2:20" ht="15.75" customHeight="1" thickBot="1">
      <c r="B3" s="73" t="s">
        <v>21</v>
      </c>
      <c r="C3" s="74"/>
      <c r="E3" s="100" t="s">
        <v>27</v>
      </c>
      <c r="F3" s="101"/>
      <c r="G3" s="101"/>
      <c r="H3" s="101"/>
      <c r="I3" s="101"/>
      <c r="J3" s="101" t="s">
        <v>28</v>
      </c>
      <c r="K3" s="101"/>
      <c r="L3" s="102"/>
      <c r="N3" s="114" t="s">
        <v>32</v>
      </c>
      <c r="O3" s="115"/>
      <c r="P3" s="115"/>
      <c r="Q3" s="115"/>
      <c r="R3" s="115"/>
      <c r="S3" s="116"/>
      <c r="T3" s="70"/>
    </row>
    <row r="4" spans="2:20" ht="15" customHeight="1" thickBot="1">
      <c r="E4" s="103" t="s">
        <v>73</v>
      </c>
      <c r="F4" s="104"/>
      <c r="G4" s="104"/>
      <c r="H4" s="104"/>
      <c r="I4" s="104"/>
      <c r="J4" s="105" t="s">
        <v>71</v>
      </c>
      <c r="K4" s="89"/>
      <c r="L4" s="90"/>
      <c r="N4" s="117"/>
      <c r="O4" s="107"/>
      <c r="P4" s="107"/>
      <c r="Q4" s="107"/>
      <c r="R4" s="107"/>
      <c r="S4" s="108"/>
      <c r="T4" s="70"/>
    </row>
    <row r="5" spans="2:20" ht="15" customHeight="1">
      <c r="B5" s="82" t="s">
        <v>79</v>
      </c>
      <c r="C5" s="83"/>
      <c r="E5" s="109" t="s">
        <v>80</v>
      </c>
      <c r="F5" s="110"/>
      <c r="G5" s="110"/>
      <c r="H5" s="110"/>
      <c r="I5" s="110"/>
      <c r="J5" s="106"/>
      <c r="K5" s="107"/>
      <c r="L5" s="108"/>
      <c r="N5" s="88" t="s">
        <v>50</v>
      </c>
      <c r="O5" s="89"/>
      <c r="P5" s="89"/>
      <c r="Q5" s="89"/>
      <c r="R5" s="89"/>
      <c r="S5" s="90"/>
      <c r="T5" s="70"/>
    </row>
    <row r="6" spans="2:20" ht="15" customHeight="1">
      <c r="B6" s="84"/>
      <c r="C6" s="85"/>
      <c r="E6" s="109"/>
      <c r="F6" s="110"/>
      <c r="G6" s="110"/>
      <c r="H6" s="110"/>
      <c r="I6" s="110"/>
      <c r="J6" s="104" t="s">
        <v>74</v>
      </c>
      <c r="K6" s="104"/>
      <c r="L6" s="111"/>
      <c r="N6" s="91"/>
      <c r="O6" s="92"/>
      <c r="P6" s="92"/>
      <c r="Q6" s="92"/>
      <c r="R6" s="92"/>
      <c r="S6" s="93"/>
      <c r="T6" s="70"/>
    </row>
    <row r="7" spans="2:20" ht="15.75" thickBot="1">
      <c r="B7" s="86"/>
      <c r="C7" s="87"/>
      <c r="E7" s="109"/>
      <c r="F7" s="110"/>
      <c r="G7" s="110"/>
      <c r="H7" s="110"/>
      <c r="I7" s="110"/>
      <c r="J7" s="104"/>
      <c r="K7" s="104"/>
      <c r="L7" s="111"/>
      <c r="N7" s="94"/>
      <c r="O7" s="95"/>
      <c r="P7" s="95"/>
      <c r="Q7" s="95"/>
      <c r="R7" s="95"/>
      <c r="S7" s="96"/>
      <c r="T7" s="70"/>
    </row>
    <row r="8" spans="2:20" ht="15.75" customHeight="1" thickBot="1">
      <c r="E8" s="109"/>
      <c r="F8" s="110"/>
      <c r="G8" s="110"/>
      <c r="H8" s="110"/>
      <c r="I8" s="110"/>
      <c r="J8" s="78" t="s">
        <v>81</v>
      </c>
      <c r="K8" s="78"/>
      <c r="L8" s="79"/>
    </row>
    <row r="9" spans="2:20" ht="15.75" customHeight="1" thickBot="1">
      <c r="B9" s="75" t="s">
        <v>22</v>
      </c>
      <c r="C9" s="77"/>
      <c r="E9" s="103" t="s">
        <v>78</v>
      </c>
      <c r="F9" s="104"/>
      <c r="G9" s="104"/>
      <c r="H9" s="104"/>
      <c r="I9" s="104"/>
      <c r="J9" s="78"/>
      <c r="K9" s="78"/>
      <c r="L9" s="79"/>
      <c r="N9" s="11" t="s">
        <v>24</v>
      </c>
      <c r="P9" s="75" t="s">
        <v>26</v>
      </c>
      <c r="Q9" s="76"/>
      <c r="R9" s="76"/>
      <c r="S9" s="77"/>
    </row>
    <row r="10" spans="2:20" ht="15.75" customHeight="1" thickBot="1">
      <c r="B10" s="13" t="s">
        <v>2</v>
      </c>
      <c r="C10" s="34" t="s">
        <v>3</v>
      </c>
      <c r="E10" s="103"/>
      <c r="F10" s="104"/>
      <c r="G10" s="104"/>
      <c r="H10" s="104"/>
      <c r="I10" s="104"/>
      <c r="J10" s="78"/>
      <c r="K10" s="78"/>
      <c r="L10" s="79"/>
      <c r="N10" s="24" t="s">
        <v>11</v>
      </c>
      <c r="P10" s="46" t="str">
        <f>INDEX(F15:L15, 1, Q10)</f>
        <v>G</v>
      </c>
      <c r="Q10" s="58">
        <f>MOD(N17, 7)+1</f>
        <v>7</v>
      </c>
      <c r="R10" s="59" t="str">
        <f>CHOOSE(N19, "Sunday", "Monday", "Tuesday", "Wednesday", "Thursday", "Friday", "Saturday")</f>
        <v>Wednesday</v>
      </c>
      <c r="S10" s="60">
        <f>N14</f>
        <v>41773</v>
      </c>
    </row>
    <row r="11" spans="2:20" ht="15.75" customHeight="1" thickBot="1">
      <c r="B11" s="16">
        <v>0</v>
      </c>
      <c r="C11" s="35" t="s">
        <v>72</v>
      </c>
      <c r="E11" s="112" t="s">
        <v>76</v>
      </c>
      <c r="F11" s="113"/>
      <c r="G11" s="113"/>
      <c r="H11" s="113"/>
      <c r="I11" s="113"/>
      <c r="J11" s="80" t="s">
        <v>77</v>
      </c>
      <c r="K11" s="80"/>
      <c r="L11" s="81"/>
      <c r="N11" s="2">
        <v>41645</v>
      </c>
      <c r="P11" s="47" t="s">
        <v>1</v>
      </c>
      <c r="Q11" s="48" t="s">
        <v>2</v>
      </c>
      <c r="R11" s="61" t="s">
        <v>4</v>
      </c>
      <c r="S11" s="62" t="s">
        <v>70</v>
      </c>
    </row>
    <row r="12" spans="2:20">
      <c r="B12" s="16">
        <v>1</v>
      </c>
      <c r="C12" s="36" t="s">
        <v>6</v>
      </c>
      <c r="E12" s="33"/>
      <c r="N12" s="25" t="s">
        <v>30</v>
      </c>
      <c r="P12" s="19">
        <v>0.5</v>
      </c>
      <c r="Q12" s="49">
        <f>INDEX(F23:L26, 1, N19)</f>
        <v>14</v>
      </c>
      <c r="R12" s="63" t="str">
        <f>INDEX(C11:C26, Q12+1, 1)</f>
        <v>FAC MTGS</v>
      </c>
      <c r="S12" s="64" t="str">
        <f>INDEX(F30:L33, 1, N19)</f>
        <v>7:45-9:00</v>
      </c>
    </row>
    <row r="13" spans="2:20" ht="15.75" thickBot="1">
      <c r="B13" s="16">
        <f>B12+1</f>
        <v>2</v>
      </c>
      <c r="C13" s="36" t="s">
        <v>5</v>
      </c>
      <c r="E13" s="9"/>
      <c r="N13" s="26"/>
      <c r="P13" s="50">
        <v>1</v>
      </c>
      <c r="Q13" s="51">
        <f>INDEX(F16:L19,P13, Q10)</f>
        <v>4</v>
      </c>
      <c r="R13" s="65" t="str">
        <f>INDEX(C12:C19, Q13, 1)</f>
        <v>Bible</v>
      </c>
      <c r="S13" s="66" t="str">
        <f>INDEX(F34:L37, P13, N19)</f>
        <v>9:00-10:10</v>
      </c>
    </row>
    <row r="14" spans="2:20" ht="15.75" thickBot="1">
      <c r="B14" s="16">
        <f t="shared" ref="B14:B26" si="0">B13+1</f>
        <v>3</v>
      </c>
      <c r="C14" s="36" t="s">
        <v>7</v>
      </c>
      <c r="E14" s="75" t="s">
        <v>23</v>
      </c>
      <c r="F14" s="76"/>
      <c r="G14" s="76"/>
      <c r="H14" s="76"/>
      <c r="I14" s="76"/>
      <c r="J14" s="76"/>
      <c r="K14" s="76"/>
      <c r="L14" s="77"/>
      <c r="N14" s="27">
        <v>41773</v>
      </c>
      <c r="P14" s="19">
        <v>1.5</v>
      </c>
      <c r="Q14" s="52">
        <f>INDEX(F23:L26, 2, N19)</f>
        <v>10</v>
      </c>
      <c r="R14" s="63" t="str">
        <f>INDEX(C11:C26, Q14+1, 1)</f>
        <v>Break</v>
      </c>
      <c r="S14" s="64" t="str">
        <f>INDEX(F30:L33, 2, N19)</f>
        <v>10:10-10:25</v>
      </c>
    </row>
    <row r="15" spans="2:20">
      <c r="B15" s="16">
        <f t="shared" si="0"/>
        <v>4</v>
      </c>
      <c r="C15" s="36" t="s">
        <v>8</v>
      </c>
      <c r="E15" s="21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28"/>
      <c r="P15" s="50">
        <v>2</v>
      </c>
      <c r="Q15" s="51">
        <f>INDEX(F16:L19,P15, Q10)</f>
        <v>8</v>
      </c>
      <c r="R15" s="65" t="str">
        <f>INDEX(C12:C19, Q15, 1)</f>
        <v>Free</v>
      </c>
      <c r="S15" s="66" t="str">
        <f>INDEX(F34:L37, P15, N19)</f>
        <v>10:25-11:35</v>
      </c>
    </row>
    <row r="16" spans="2:20">
      <c r="B16" s="16">
        <f t="shared" si="0"/>
        <v>5</v>
      </c>
      <c r="C16" s="36" t="s">
        <v>9</v>
      </c>
      <c r="E16" s="16">
        <v>1</v>
      </c>
      <c r="F16" s="3">
        <v>1</v>
      </c>
      <c r="G16" s="3">
        <v>8</v>
      </c>
      <c r="H16" s="3">
        <v>2</v>
      </c>
      <c r="I16" s="3">
        <v>6</v>
      </c>
      <c r="J16" s="3">
        <v>3</v>
      </c>
      <c r="K16" s="3">
        <v>7</v>
      </c>
      <c r="L16" s="4">
        <v>4</v>
      </c>
      <c r="N16" s="32" t="s">
        <v>12</v>
      </c>
      <c r="P16" s="50">
        <v>3</v>
      </c>
      <c r="Q16" s="51">
        <f>INDEX(F16:L19,P17,Q10)</f>
        <v>6</v>
      </c>
      <c r="R16" s="65" t="str">
        <f>INDEX(C12:C19, Q16, 1)</f>
        <v>Orchestra</v>
      </c>
      <c r="S16" s="66" t="str">
        <f>INDEX(F34:L37, P16, N19)</f>
        <v>11:35-1:40</v>
      </c>
    </row>
    <row r="17" spans="2:19" ht="15.75" thickBot="1">
      <c r="B17" s="16">
        <f t="shared" si="0"/>
        <v>6</v>
      </c>
      <c r="C17" s="36" t="s">
        <v>10</v>
      </c>
      <c r="E17" s="16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8</v>
      </c>
      <c r="N17" s="18">
        <f>MAX(NETWORKDAYS(N11, N14,N23:N124)-1, 0)</f>
        <v>83</v>
      </c>
      <c r="P17" s="19">
        <v>3.5</v>
      </c>
      <c r="Q17" s="52">
        <f>INDEX(F23:L26, 3, N19)</f>
        <v>10</v>
      </c>
      <c r="R17" s="63" t="str">
        <f>INDEX(C11:C26, Q17+1, 1)</f>
        <v>Break</v>
      </c>
      <c r="S17" s="64" t="str">
        <f>INDEX(F30:L33, 3, N19)</f>
        <v>1:40-1:50</v>
      </c>
    </row>
    <row r="18" spans="2:19">
      <c r="B18" s="16">
        <f t="shared" si="0"/>
        <v>7</v>
      </c>
      <c r="C18" s="36" t="s">
        <v>7</v>
      </c>
      <c r="E18" s="16">
        <v>3</v>
      </c>
      <c r="F18" s="3">
        <v>3</v>
      </c>
      <c r="G18" s="3">
        <v>7</v>
      </c>
      <c r="H18" s="3">
        <v>4</v>
      </c>
      <c r="I18" s="3">
        <v>1</v>
      </c>
      <c r="J18" s="3">
        <v>8</v>
      </c>
      <c r="K18" s="3">
        <v>2</v>
      </c>
      <c r="L18" s="4">
        <v>6</v>
      </c>
      <c r="N18" s="32" t="s">
        <v>35</v>
      </c>
      <c r="P18" s="50">
        <v>4</v>
      </c>
      <c r="Q18" s="51">
        <f>INDEX(F16:L19,P18, Q10)</f>
        <v>7</v>
      </c>
      <c r="R18" s="65" t="str">
        <f>INDEX(C12:C19, Q18, 1)</f>
        <v>Physics</v>
      </c>
      <c r="S18" s="66" t="str">
        <f>INDEX(F34:L37, P18, N19)</f>
        <v>1:50-3:00</v>
      </c>
    </row>
    <row r="19" spans="2:19" ht="15.75" thickBot="1">
      <c r="B19" s="16">
        <f t="shared" si="0"/>
        <v>8</v>
      </c>
      <c r="C19" s="37" t="s">
        <v>15</v>
      </c>
      <c r="E19" s="17">
        <v>4</v>
      </c>
      <c r="F19" s="5">
        <v>4</v>
      </c>
      <c r="G19" s="5">
        <v>1</v>
      </c>
      <c r="H19" s="5">
        <v>8</v>
      </c>
      <c r="I19" s="5">
        <v>2</v>
      </c>
      <c r="J19" s="5">
        <v>6</v>
      </c>
      <c r="K19" s="5">
        <v>3</v>
      </c>
      <c r="L19" s="6">
        <v>7</v>
      </c>
      <c r="N19" s="18">
        <f>WEEKDAY(N14)</f>
        <v>4</v>
      </c>
      <c r="P19" s="20">
        <v>4.5</v>
      </c>
      <c r="Q19" s="53">
        <f>INDEX(F23:L26, 4, N19)</f>
        <v>9</v>
      </c>
      <c r="R19" s="67" t="str">
        <f>INDEX(C11:C26, Q19+1, 1)</f>
        <v>Office Hours</v>
      </c>
      <c r="S19" s="68" t="str">
        <f>INDEX(F30:L33, 4, N19)</f>
        <v>3:00-3:30</v>
      </c>
    </row>
    <row r="20" spans="2:19" ht="15.75" thickBot="1">
      <c r="B20" s="16">
        <f t="shared" si="0"/>
        <v>9</v>
      </c>
      <c r="C20" s="38" t="s">
        <v>36</v>
      </c>
      <c r="G20" s="29"/>
      <c r="P20" s="22"/>
      <c r="R20" s="23"/>
    </row>
    <row r="21" spans="2:19" ht="15.75" thickBot="1">
      <c r="B21" s="16">
        <f t="shared" si="0"/>
        <v>10</v>
      </c>
      <c r="C21" s="38" t="s">
        <v>37</v>
      </c>
      <c r="E21" s="75" t="s">
        <v>43</v>
      </c>
      <c r="F21" s="76"/>
      <c r="G21" s="76"/>
      <c r="H21" s="76"/>
      <c r="I21" s="76"/>
      <c r="J21" s="76"/>
      <c r="K21" s="76"/>
      <c r="L21" s="77"/>
      <c r="N21" s="10" t="s">
        <v>25</v>
      </c>
      <c r="P21" s="22"/>
      <c r="R21" s="23"/>
    </row>
    <row r="22" spans="2:19">
      <c r="B22" s="16">
        <f t="shared" si="0"/>
        <v>11</v>
      </c>
      <c r="C22" s="38" t="s">
        <v>38</v>
      </c>
      <c r="E22" s="13" t="s">
        <v>1</v>
      </c>
      <c r="F22" s="40" t="s">
        <v>44</v>
      </c>
      <c r="G22" s="40" t="s">
        <v>45</v>
      </c>
      <c r="H22" s="40" t="s">
        <v>46</v>
      </c>
      <c r="I22" s="40" t="s">
        <v>47</v>
      </c>
      <c r="J22" s="40" t="s">
        <v>48</v>
      </c>
      <c r="K22" s="40" t="s">
        <v>14</v>
      </c>
      <c r="L22" s="30" t="s">
        <v>44</v>
      </c>
      <c r="N22" s="12" t="s">
        <v>0</v>
      </c>
    </row>
    <row r="23" spans="2:19">
      <c r="B23" s="16">
        <f t="shared" si="0"/>
        <v>12</v>
      </c>
      <c r="C23" s="38" t="s">
        <v>39</v>
      </c>
      <c r="E23" s="41">
        <v>0.5</v>
      </c>
      <c r="F23" s="42">
        <v>0</v>
      </c>
      <c r="G23" s="42">
        <v>9</v>
      </c>
      <c r="H23" s="42">
        <v>13</v>
      </c>
      <c r="I23" s="42">
        <v>14</v>
      </c>
      <c r="J23" s="42">
        <v>13</v>
      </c>
      <c r="K23" s="42">
        <v>9</v>
      </c>
      <c r="L23" s="43">
        <v>0</v>
      </c>
      <c r="N23" s="7">
        <v>41659</v>
      </c>
    </row>
    <row r="24" spans="2:19">
      <c r="B24" s="16">
        <f t="shared" si="0"/>
        <v>13</v>
      </c>
      <c r="C24" s="38" t="s">
        <v>40</v>
      </c>
      <c r="E24" s="41">
        <v>1.5</v>
      </c>
      <c r="F24" s="42">
        <v>0</v>
      </c>
      <c r="G24" s="42">
        <v>10</v>
      </c>
      <c r="H24" s="42">
        <v>10</v>
      </c>
      <c r="I24" s="42">
        <v>10</v>
      </c>
      <c r="J24" s="42">
        <v>11</v>
      </c>
      <c r="K24" s="42">
        <v>12</v>
      </c>
      <c r="L24" s="43">
        <v>0</v>
      </c>
      <c r="N24" s="7">
        <v>41687</v>
      </c>
    </row>
    <row r="25" spans="2:19">
      <c r="B25" s="16">
        <f t="shared" si="0"/>
        <v>14</v>
      </c>
      <c r="C25" s="38" t="s">
        <v>41</v>
      </c>
      <c r="E25" s="41">
        <v>3.5</v>
      </c>
      <c r="F25" s="42">
        <v>0</v>
      </c>
      <c r="G25" s="42">
        <v>15</v>
      </c>
      <c r="H25" s="42">
        <v>15</v>
      </c>
      <c r="I25" s="42">
        <v>10</v>
      </c>
      <c r="J25" s="42">
        <v>10</v>
      </c>
      <c r="K25" s="42">
        <v>10</v>
      </c>
      <c r="L25" s="43">
        <v>0</v>
      </c>
      <c r="N25" s="7">
        <v>41706</v>
      </c>
    </row>
    <row r="26" spans="2:19" ht="15.75" thickBot="1">
      <c r="B26" s="17">
        <f t="shared" si="0"/>
        <v>15</v>
      </c>
      <c r="C26" s="39" t="s">
        <v>42</v>
      </c>
      <c r="E26" s="44">
        <v>4.5</v>
      </c>
      <c r="F26" s="45">
        <v>0</v>
      </c>
      <c r="G26" s="45">
        <v>9</v>
      </c>
      <c r="H26" s="45">
        <v>9</v>
      </c>
      <c r="I26" s="45">
        <v>9</v>
      </c>
      <c r="J26" s="45">
        <v>9</v>
      </c>
      <c r="K26" s="45">
        <v>0</v>
      </c>
      <c r="L26" s="31">
        <v>0</v>
      </c>
      <c r="N26" s="7">
        <v>41707</v>
      </c>
    </row>
    <row r="27" spans="2:19" ht="15.75" thickBot="1">
      <c r="N27" s="7">
        <v>41708</v>
      </c>
    </row>
    <row r="28" spans="2:19" ht="15.75" thickBot="1">
      <c r="E28" s="75" t="s">
        <v>51</v>
      </c>
      <c r="F28" s="76"/>
      <c r="G28" s="76"/>
      <c r="H28" s="76"/>
      <c r="I28" s="76"/>
      <c r="J28" s="76"/>
      <c r="K28" s="76"/>
      <c r="L28" s="77"/>
      <c r="N28" s="7">
        <v>41709</v>
      </c>
    </row>
    <row r="29" spans="2:19">
      <c r="E29" s="13" t="s">
        <v>1</v>
      </c>
      <c r="F29" s="40" t="s">
        <v>44</v>
      </c>
      <c r="G29" s="40" t="s">
        <v>45</v>
      </c>
      <c r="H29" s="40" t="s">
        <v>46</v>
      </c>
      <c r="I29" s="40" t="s">
        <v>47</v>
      </c>
      <c r="J29" s="40" t="s">
        <v>48</v>
      </c>
      <c r="K29" s="40" t="s">
        <v>14</v>
      </c>
      <c r="L29" s="30" t="s">
        <v>44</v>
      </c>
      <c r="N29" s="7">
        <v>41710</v>
      </c>
    </row>
    <row r="30" spans="2:19">
      <c r="E30" s="16">
        <v>0.5</v>
      </c>
      <c r="F30" s="54">
        <v>0</v>
      </c>
      <c r="G30" s="54" t="s">
        <v>52</v>
      </c>
      <c r="H30" s="54" t="s">
        <v>53</v>
      </c>
      <c r="I30" s="54" t="s">
        <v>54</v>
      </c>
      <c r="J30" s="54" t="s">
        <v>53</v>
      </c>
      <c r="K30" s="54" t="s">
        <v>52</v>
      </c>
      <c r="L30" s="55">
        <v>0</v>
      </c>
      <c r="N30" s="7">
        <v>41711</v>
      </c>
    </row>
    <row r="31" spans="2:19">
      <c r="E31" s="16">
        <v>1.5</v>
      </c>
      <c r="F31" s="54">
        <v>0</v>
      </c>
      <c r="G31" s="54" t="s">
        <v>55</v>
      </c>
      <c r="H31" s="54" t="s">
        <v>55</v>
      </c>
      <c r="I31" s="54" t="s">
        <v>56</v>
      </c>
      <c r="J31" s="54" t="s">
        <v>57</v>
      </c>
      <c r="K31" s="54" t="s">
        <v>55</v>
      </c>
      <c r="L31" s="55">
        <v>0</v>
      </c>
      <c r="N31" s="7">
        <v>41712</v>
      </c>
    </row>
    <row r="32" spans="2:19">
      <c r="E32" s="16">
        <v>3.5</v>
      </c>
      <c r="F32" s="54">
        <v>0</v>
      </c>
      <c r="G32" s="54" t="s">
        <v>58</v>
      </c>
      <c r="H32" s="54" t="s">
        <v>58</v>
      </c>
      <c r="I32" s="54" t="s">
        <v>59</v>
      </c>
      <c r="J32" s="54" t="s">
        <v>59</v>
      </c>
      <c r="K32" s="54" t="s">
        <v>60</v>
      </c>
      <c r="L32" s="55">
        <v>0</v>
      </c>
      <c r="N32" s="7">
        <v>41713</v>
      </c>
    </row>
    <row r="33" spans="5:14">
      <c r="E33" s="16">
        <v>4.5</v>
      </c>
      <c r="F33" s="54">
        <v>0</v>
      </c>
      <c r="G33" s="54" t="s">
        <v>61</v>
      </c>
      <c r="H33" s="54" t="s">
        <v>61</v>
      </c>
      <c r="I33" s="54" t="s">
        <v>61</v>
      </c>
      <c r="J33" s="54" t="s">
        <v>61</v>
      </c>
      <c r="K33" s="54">
        <v>0</v>
      </c>
      <c r="L33" s="55">
        <v>0</v>
      </c>
      <c r="N33" s="7">
        <v>41714</v>
      </c>
    </row>
    <row r="34" spans="5:14">
      <c r="E34" s="16">
        <v>1</v>
      </c>
      <c r="F34" s="54">
        <v>0</v>
      </c>
      <c r="G34" s="54" t="s">
        <v>62</v>
      </c>
      <c r="H34" s="54" t="s">
        <v>62</v>
      </c>
      <c r="I34" s="54" t="s">
        <v>63</v>
      </c>
      <c r="J34" s="54" t="s">
        <v>62</v>
      </c>
      <c r="K34" s="54" t="s">
        <v>62</v>
      </c>
      <c r="L34" s="55">
        <v>0</v>
      </c>
      <c r="N34" s="7">
        <v>41747</v>
      </c>
    </row>
    <row r="35" spans="5:14">
      <c r="E35" s="16">
        <v>2</v>
      </c>
      <c r="F35" s="54">
        <v>0</v>
      </c>
      <c r="G35" s="54" t="s">
        <v>64</v>
      </c>
      <c r="H35" s="54" t="s">
        <v>64</v>
      </c>
      <c r="I35" s="54" t="s">
        <v>65</v>
      </c>
      <c r="J35" s="54" t="s">
        <v>65</v>
      </c>
      <c r="K35" s="54" t="s">
        <v>64</v>
      </c>
      <c r="L35" s="55">
        <v>0</v>
      </c>
      <c r="N35" s="7">
        <v>41748</v>
      </c>
    </row>
    <row r="36" spans="5:14">
      <c r="E36" s="16">
        <v>3</v>
      </c>
      <c r="F36" s="54">
        <v>0</v>
      </c>
      <c r="G36" s="54" t="s">
        <v>66</v>
      </c>
      <c r="H36" s="54" t="s">
        <v>66</v>
      </c>
      <c r="I36" s="54" t="s">
        <v>67</v>
      </c>
      <c r="J36" s="54" t="s">
        <v>67</v>
      </c>
      <c r="K36" s="54" t="s">
        <v>66</v>
      </c>
      <c r="L36" s="55">
        <v>0</v>
      </c>
      <c r="N36" s="7">
        <v>41749</v>
      </c>
    </row>
    <row r="37" spans="5:14" ht="15.75" thickBot="1">
      <c r="E37" s="17">
        <v>4</v>
      </c>
      <c r="F37" s="56">
        <v>0</v>
      </c>
      <c r="G37" s="56" t="s">
        <v>68</v>
      </c>
      <c r="H37" s="56" t="s">
        <v>68</v>
      </c>
      <c r="I37" s="56" t="s">
        <v>68</v>
      </c>
      <c r="J37" s="56" t="s">
        <v>68</v>
      </c>
      <c r="K37" s="56" t="s">
        <v>69</v>
      </c>
      <c r="L37" s="57">
        <v>0</v>
      </c>
      <c r="N37" s="7">
        <v>41750</v>
      </c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3">
    <mergeCell ref="P9:S9"/>
    <mergeCell ref="N5:S7"/>
    <mergeCell ref="N2:S2"/>
    <mergeCell ref="N3:S4"/>
    <mergeCell ref="E2:L2"/>
    <mergeCell ref="E3:I3"/>
    <mergeCell ref="J3:L3"/>
    <mergeCell ref="E4:I4"/>
    <mergeCell ref="J4:L5"/>
    <mergeCell ref="E5:I8"/>
    <mergeCell ref="J6:L7"/>
    <mergeCell ref="E14:L14"/>
    <mergeCell ref="E21:L21"/>
    <mergeCell ref="E28:L28"/>
    <mergeCell ref="B2:C2"/>
    <mergeCell ref="B3:C3"/>
    <mergeCell ref="B9:C9"/>
    <mergeCell ref="B5:C5"/>
    <mergeCell ref="B6:C7"/>
    <mergeCell ref="J8:L10"/>
    <mergeCell ref="J11:L11"/>
    <mergeCell ref="E9:I10"/>
    <mergeCell ref="E11:I1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2013-08-25T19:30:12Z</dcterms:modified>
</cp:coreProperties>
</file>