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 activeTab="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  <sheet name="Sheet1" sheetId="6" r:id="rId6"/>
  </sheets>
  <calcPr calcId="125725"/>
</workbook>
</file>

<file path=xl/calcChain.xml><?xml version="1.0" encoding="utf-8"?>
<calcChain xmlns="http://schemas.openxmlformats.org/spreadsheetml/2006/main">
  <c r="Q10" i="5"/>
  <c r="D10" s="1"/>
  <c r="R13" s="1"/>
  <c r="D11" s="1"/>
  <c r="D27" i="3"/>
  <c r="I9" s="1"/>
  <c r="H9" s="1"/>
  <c r="D29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T2" i="5" l="1"/>
  <c r="E10"/>
  <c r="S14" s="1"/>
  <c r="S16" s="1"/>
  <c r="R24"/>
  <c r="R25"/>
  <c r="R26"/>
  <c r="R23"/>
  <c r="K27" i="3"/>
  <c r="R14" i="5"/>
  <c r="R16" s="1"/>
  <c r="K9" i="3"/>
  <c r="R32" i="5" l="1"/>
  <c r="R22" s="1"/>
  <c r="W22" s="1"/>
  <c r="AB22" s="1"/>
  <c r="W26" s="1"/>
  <c r="D30" s="1"/>
  <c r="R30"/>
  <c r="R20" s="1"/>
  <c r="W20" s="1"/>
  <c r="AB20" s="1"/>
  <c r="W24" s="1"/>
  <c r="D18" s="1"/>
  <c r="R31"/>
  <c r="R21" s="1"/>
  <c r="W21" s="1"/>
  <c r="AB21" s="1"/>
  <c r="W25" s="1"/>
  <c r="D23" s="1"/>
  <c r="R29"/>
  <c r="R19" s="1"/>
  <c r="W19" s="1"/>
  <c r="AB19" s="1"/>
  <c r="W23" s="1"/>
  <c r="D15" s="1"/>
  <c r="S31"/>
  <c r="S21" s="1"/>
  <c r="X21" s="1"/>
  <c r="AC21" s="1"/>
  <c r="S29"/>
  <c r="S19" s="1"/>
  <c r="X19" s="1"/>
  <c r="AC19" s="1"/>
  <c r="S30"/>
  <c r="S20" s="1"/>
  <c r="X20" s="1"/>
  <c r="AC20" s="1"/>
  <c r="S32"/>
  <c r="S22" s="1"/>
  <c r="X22" s="1"/>
  <c r="AC22" s="1"/>
  <c r="E12"/>
  <c r="D12"/>
  <c r="F10"/>
  <c r="S13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4" i="5"/>
  <c r="T16" s="1"/>
  <c r="S23"/>
  <c r="X23" s="1"/>
  <c r="E15" s="1"/>
  <c r="S24"/>
  <c r="X24" s="1"/>
  <c r="E18" s="1"/>
  <c r="S25"/>
  <c r="X25" s="1"/>
  <c r="E23" s="1"/>
  <c r="S26"/>
  <c r="X26" s="1"/>
  <c r="E30" s="1"/>
  <c r="E11"/>
  <c r="G10"/>
  <c r="T13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4" i="5"/>
  <c r="U16" s="1"/>
  <c r="T30"/>
  <c r="T20" s="1"/>
  <c r="Y20" s="1"/>
  <c r="AD20" s="1"/>
  <c r="T32"/>
  <c r="T22" s="1"/>
  <c r="Y22" s="1"/>
  <c r="AD22" s="1"/>
  <c r="T29"/>
  <c r="T19" s="1"/>
  <c r="Y19" s="1"/>
  <c r="AD19" s="1"/>
  <c r="T31"/>
  <c r="T21" s="1"/>
  <c r="Y21" s="1"/>
  <c r="AD21" s="1"/>
  <c r="F12"/>
  <c r="T23"/>
  <c r="T24"/>
  <c r="T25"/>
  <c r="T26"/>
  <c r="F11"/>
  <c r="H10"/>
  <c r="U2" s="1"/>
  <c r="U13"/>
  <c r="I18" i="3"/>
  <c r="J18" s="1"/>
  <c r="K18"/>
  <c r="I15"/>
  <c r="J15" s="1"/>
  <c r="K15"/>
  <c r="I13"/>
  <c r="J13" s="1"/>
  <c r="K13"/>
  <c r="I12"/>
  <c r="J12" s="1"/>
  <c r="Y24" i="5" l="1"/>
  <c r="F21" s="1"/>
  <c r="Y25"/>
  <c r="F24" s="1"/>
  <c r="Y26"/>
  <c r="F30" s="1"/>
  <c r="B2"/>
  <c r="U29"/>
  <c r="U19" s="1"/>
  <c r="Z19" s="1"/>
  <c r="AE19" s="1"/>
  <c r="U31"/>
  <c r="U21" s="1"/>
  <c r="Z21" s="1"/>
  <c r="AE21" s="1"/>
  <c r="U32"/>
  <c r="U22" s="1"/>
  <c r="Z22" s="1"/>
  <c r="AE22" s="1"/>
  <c r="U30"/>
  <c r="U20" s="1"/>
  <c r="Z20" s="1"/>
  <c r="AE20" s="1"/>
  <c r="G12"/>
  <c r="Y23"/>
  <c r="F16" s="1"/>
  <c r="U23"/>
  <c r="U24"/>
  <c r="U25"/>
  <c r="U26"/>
  <c r="G11"/>
  <c r="V13"/>
  <c r="V14"/>
  <c r="V16" s="1"/>
  <c r="Z24" l="1"/>
  <c r="G21" s="1"/>
  <c r="Z26"/>
  <c r="G30" s="1"/>
  <c r="Z25"/>
  <c r="G24" s="1"/>
  <c r="V32"/>
  <c r="V22" s="1"/>
  <c r="AA22" s="1"/>
  <c r="AF22" s="1"/>
  <c r="V30"/>
  <c r="V20" s="1"/>
  <c r="AA20" s="1"/>
  <c r="AF20" s="1"/>
  <c r="V31"/>
  <c r="V21" s="1"/>
  <c r="AA21" s="1"/>
  <c r="AF21" s="1"/>
  <c r="V29"/>
  <c r="V19" s="1"/>
  <c r="AA19" s="1"/>
  <c r="AF19" s="1"/>
  <c r="Z23"/>
  <c r="G15" s="1"/>
  <c r="V23"/>
  <c r="V24"/>
  <c r="V25"/>
  <c r="V26"/>
  <c r="H11"/>
  <c r="H12"/>
  <c r="AA25" l="1"/>
  <c r="H23" s="1"/>
  <c r="AA24"/>
  <c r="H18" s="1"/>
  <c r="AA26"/>
  <c r="H28" s="1"/>
  <c r="AA23"/>
  <c r="H15" s="1"/>
</calcChain>
</file>

<file path=xl/sharedStrings.xml><?xml version="1.0" encoding="utf-8"?>
<sst xmlns="http://schemas.openxmlformats.org/spreadsheetml/2006/main" count="209" uniqueCount="127">
  <si>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</si>
  <si>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</si>
  <si>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</si>
  <si>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</si>
  <si>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</si>
  <si>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</si>
  <si>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</si>
  <si>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</si>
  <si>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</si>
  <si>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</si>
  <si>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</si>
  <si>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</si>
  <si>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</si>
  <si>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</si>
  <si>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</si>
  <si>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</si>
  <si>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</si>
  <si>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</si>
  <si>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</si>
  <si>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</si>
  <si>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</si>
  <si>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</si>
  <si>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</si>
  <si>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</si>
  <si>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</si>
  <si>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</si>
  <si>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</si>
  <si>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</si>
  <si>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</si>
  <si>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</si>
  <si>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</si>
  <si>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</si>
  <si>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</si>
  <si>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</si>
  <si>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</si>
  <si>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</si>
  <si>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</si>
  <si>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</si>
  <si>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</si>
  <si>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</si>
  <si>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</si>
  <si>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</si>
  <si>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</si>
  <si>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</si>
  <si>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</si>
  <si>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</si>
  <si>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</si>
  <si>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</si>
  <si>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</si>
  <si>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</si>
  <si>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</si>
  <si>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</si>
  <si>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</si>
  <si>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</si>
  <si>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</si>
  <si>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</si>
  <si>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</si>
  <si>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</si>
  <si>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</si>
  <si>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</si>
  <si>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</si>
  <si>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</si>
  <si>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</si>
  <si>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</si>
  <si>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</si>
  <si>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</si>
  <si>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</si>
  <si>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</si>
  <si>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</si>
  <si>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</si>
  <si>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</si>
  <si>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</si>
  <si>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</si>
  <si>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</si>
  <si>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</si>
  <si>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</si>
  <si>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</si>
  <si>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</si>
  <si>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</si>
  <si>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</si>
  <si>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</si>
  <si>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</si>
  <si>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</si>
  <si>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</si>
  <si>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</si>
  <si>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</si>
  <si>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</si>
  <si>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</si>
  <si>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</si>
  <si>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</si>
  <si>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</si>
  <si>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</si>
  <si>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</si>
  <si>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</si>
  <si>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</si>
  <si>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</si>
  <si>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</si>
  <si>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</si>
  <si>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</si>
  <si>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</si>
  <si>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</si>
  <si>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</si>
  <si>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</si>
  <si>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</si>
  <si>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</si>
  <si>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</si>
  <si>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</si>
  <si>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</si>
  <si>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</si>
  <si>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</si>
  <si>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</si>
  <si>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</si>
  <si>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</si>
  <si>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</si>
  <si>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</si>
  <si>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</si>
  <si>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</si>
  <si>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</si>
  <si>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</si>
  <si>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Orchestra</t>
  </si>
  <si>
    <t>What is this, How do I use it?</t>
  </si>
  <si>
    <t>Week to Schedule</t>
  </si>
  <si>
    <r>
      <t xml:space="preserve">Below is the </t>
    </r>
    <r>
      <rPr>
        <b/>
        <sz val="11"/>
        <rFont val="Calibri"/>
        <family val="2"/>
        <scheme val="minor"/>
      </rPr>
      <t>Schedule for the Week</t>
    </r>
    <r>
      <rPr>
        <sz val="11"/>
        <rFont val="Calibri"/>
        <family val="2"/>
        <scheme val="minor"/>
      </rPr>
      <t>, whose Monday is derived from the date on the right.</t>
    </r>
  </si>
  <si>
    <t>Step 2: Lab Frees Only</t>
  </si>
  <si>
    <t>Fig. 2: Lab Free Matrix</t>
  </si>
  <si>
    <t xml:space="preserve"> Put any non-scheduled days below. The dates of breaks and exams from the school calendar are already implemented internally.</t>
  </si>
  <si>
    <t>3:00</t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</si>
</sst>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  <fill>
      <patternFill patternType="solid">
        <fgColor theme="4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9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48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4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58" xfId="0" applyNumberFormat="1" applyFont="1" applyFill="1" applyBorder="1" applyAlignment="1" applyProtection="1">
      <alignment horizontal="center" vertical="top"/>
    </xf>
    <xf numFmtId="49" fontId="14" fillId="10" borderId="49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58" xfId="0" applyNumberFormat="1" applyFont="1" applyFill="1" applyBorder="1" applyAlignment="1" applyProtection="1">
      <alignment horizontal="center" vertical="center"/>
    </xf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58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4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53" xfId="0" applyNumberFormat="1" applyFont="1" applyFill="1" applyBorder="1" applyAlignment="1" applyProtection="1">
      <alignment horizontal="center" vertical="center" wrapText="1"/>
    </xf>
    <xf numFmtId="0" fontId="14" fillId="21" borderId="56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49" fontId="14" fillId="10" borderId="65" xfId="0" applyNumberFormat="1" applyFont="1" applyFill="1" applyBorder="1" applyAlignment="1" applyProtection="1">
      <alignment horizontal="left" vertical="top" wrapText="1"/>
    </xf>
    <xf numFmtId="14" fontId="14" fillId="10" borderId="46" xfId="0" applyNumberFormat="1" applyFont="1" applyFill="1" applyBorder="1" applyAlignment="1" applyProtection="1">
      <alignment horizontal="center" vertical="top"/>
    </xf>
    <xf numFmtId="14" fontId="14" fillId="10" borderId="55" xfId="0" applyNumberFormat="1" applyFont="1" applyFill="1" applyBorder="1" applyAlignment="1" applyProtection="1">
      <alignment horizontal="center" vertical="top"/>
    </xf>
    <xf numFmtId="14" fontId="14" fillId="10" borderId="60" xfId="0" applyNumberFormat="1" applyFont="1" applyFill="1" applyBorder="1" applyAlignment="1" applyProtection="1">
      <alignment horizontal="center" vertical="top"/>
    </xf>
    <xf numFmtId="14" fontId="6" fillId="22" borderId="23" xfId="0" applyNumberFormat="1" applyFont="1" applyFill="1" applyBorder="1" applyAlignment="1" applyProtection="1">
      <alignment vertical="center"/>
    </xf>
    <xf numFmtId="14" fontId="6" fillId="22" borderId="25" xfId="0" applyNumberFormat="1" applyFont="1" applyFill="1" applyBorder="1" applyAlignment="1" applyProtection="1">
      <alignment horizontal="left" vertical="center" indent="3"/>
    </xf>
    <xf numFmtId="0" fontId="0" fillId="22" borderId="28" xfId="0" applyFill="1" applyBorder="1" applyProtection="1"/>
    <xf numFmtId="14" fontId="6" fillId="22" borderId="67" xfId="0" applyNumberFormat="1" applyFont="1" applyFill="1" applyBorder="1" applyAlignment="1" applyProtection="1">
      <alignment vertical="center"/>
    </xf>
    <xf numFmtId="0" fontId="0" fillId="22" borderId="68" xfId="0" applyFill="1" applyBorder="1" applyProtection="1"/>
    <xf numFmtId="14" fontId="0" fillId="22" borderId="66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left" vertical="center" wrapText="1" indent="1"/>
    </xf>
    <xf numFmtId="0" fontId="0" fillId="8" borderId="22" xfId="0" applyFill="1" applyBorder="1" applyAlignment="1" applyProtection="1">
      <alignment horizontal="left" vertical="center" wrapText="1" indent="1"/>
    </xf>
    <xf numFmtId="0" fontId="0" fillId="8" borderId="23" xfId="0" applyFill="1" applyBorder="1" applyAlignment="1" applyProtection="1">
      <alignment horizontal="left" vertical="center" wrapText="1" indent="1"/>
    </xf>
    <xf numFmtId="0" fontId="0" fillId="8" borderId="26" xfId="0" applyFill="1" applyBorder="1" applyAlignment="1" applyProtection="1">
      <alignment horizontal="left" vertical="center" wrapText="1" indent="1"/>
    </xf>
    <xf numFmtId="0" fontId="0" fillId="8" borderId="27" xfId="0" applyFill="1" applyBorder="1" applyAlignment="1" applyProtection="1">
      <alignment horizontal="left" vertical="center" wrapText="1" indent="1"/>
    </xf>
    <xf numFmtId="0" fontId="0" fillId="8" borderId="28" xfId="0" applyFill="1" applyBorder="1" applyAlignment="1" applyProtection="1">
      <alignment horizontal="left" vertical="center" wrapText="1" inden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0" fontId="14" fillId="19" borderId="59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62" xfId="0" applyNumberFormat="1" applyFont="1" applyFill="1" applyBorder="1" applyAlignment="1" applyProtection="1">
      <alignment horizontal="center" vertical="center" wrapText="1"/>
    </xf>
    <xf numFmtId="0" fontId="0" fillId="0" borderId="63" xfId="0" applyBorder="1" applyProtection="1"/>
    <xf numFmtId="0" fontId="0" fillId="0" borderId="64" xfId="0" applyBorder="1" applyProtection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57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5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61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14" fontId="2" fillId="8" borderId="21" xfId="0" applyNumberFormat="1" applyFont="1" applyFill="1" applyBorder="1" applyAlignment="1" applyProtection="1">
      <alignment horizontal="center" vertical="center" wrapText="1"/>
    </xf>
    <xf numFmtId="14" fontId="2" fillId="8" borderId="22" xfId="0" applyNumberFormat="1" applyFont="1" applyFill="1" applyBorder="1" applyAlignment="1" applyProtection="1">
      <alignment horizontal="center" vertical="center" wrapText="1"/>
    </xf>
    <xf numFmtId="14" fontId="2" fillId="8" borderId="23" xfId="0" applyNumberFormat="1" applyFont="1" applyFill="1" applyBorder="1" applyAlignment="1" applyProtection="1">
      <alignment horizontal="center" vertical="center" wrapText="1"/>
    </xf>
    <xf numFmtId="14" fontId="2" fillId="8" borderId="24" xfId="0" applyNumberFormat="1" applyFont="1" applyFill="1" applyBorder="1" applyAlignment="1" applyProtection="1">
      <alignment horizontal="center" vertical="center" wrapText="1"/>
    </xf>
    <xf numFmtId="14" fontId="2" fillId="8" borderId="0" xfId="0" applyNumberFormat="1" applyFont="1" applyFill="1" applyBorder="1" applyAlignment="1" applyProtection="1">
      <alignment horizontal="center" vertical="center" wrapText="1"/>
    </xf>
    <xf numFmtId="14" fontId="2" fillId="8" borderId="25" xfId="0" applyNumberFormat="1" applyFont="1" applyFill="1" applyBorder="1" applyAlignment="1" applyProtection="1">
      <alignment horizontal="center" vertic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</xf>
    <xf numFmtId="14" fontId="2" fillId="8" borderId="27" xfId="0" applyNumberFormat="1" applyFont="1" applyFill="1" applyBorder="1" applyAlignment="1" applyProtection="1">
      <alignment horizontal="center" vertical="center" wrapText="1"/>
    </xf>
    <xf numFmtId="14" fontId="2" fillId="8" borderId="28" xfId="0" applyNumberFormat="1" applyFont="1" applyFill="1" applyBorder="1" applyAlignment="1" applyProtection="1">
      <alignment horizontal="center" vertical="center" wrapText="1"/>
    </xf>
    <xf numFmtId="14" fontId="1" fillId="2" borderId="10" xfId="0" applyNumberFormat="1" applyFont="1" applyFill="1" applyBorder="1" applyAlignment="1" applyProtection="1">
      <alignment horizontal="center" vertic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5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  <xf numFmtId="20" fontId="0" fillId="0" borderId="0" xfId="0" applyNumberFormat="1" applyFill="1" applyBorder="1" applyAlignment="1">
      <alignment horizontal="center"/>
    </xf>
    <xf numFmtId="49" fontId="14" fillId="0" borderId="0" xfId="0" applyNumberFormat="1" applyFont="1" applyFill="1" applyBorder="1" applyAlignment="1" applyProtection="1">
      <alignment horizontal="center" vertical="top" wrapText="1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G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opLeftCell="A3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9" t="s">
        <v>60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52" t="s">
        <v>75</v>
      </c>
      <c r="F6" s="252"/>
      <c r="G6" s="252"/>
      <c r="H6" s="252"/>
      <c r="I6" s="252"/>
      <c r="J6" s="252"/>
      <c r="K6" s="252"/>
      <c r="L6" s="83"/>
      <c r="M6" s="59"/>
    </row>
    <row r="7" spans="3:13" ht="15" customHeight="1">
      <c r="C7" s="58"/>
      <c r="D7" s="82"/>
      <c r="E7" s="252"/>
      <c r="F7" s="252"/>
      <c r="G7" s="252"/>
      <c r="H7" s="252"/>
      <c r="I7" s="252"/>
      <c r="J7" s="252"/>
      <c r="K7" s="252"/>
      <c r="L7" s="83"/>
      <c r="M7" s="59"/>
    </row>
    <row r="8" spans="3:13" ht="15" customHeight="1">
      <c r="C8" s="58"/>
      <c r="D8" s="82"/>
      <c r="E8" s="252"/>
      <c r="F8" s="252"/>
      <c r="G8" s="252"/>
      <c r="H8" s="252"/>
      <c r="I8" s="252"/>
      <c r="J8" s="252"/>
      <c r="K8" s="252"/>
      <c r="L8" s="83"/>
      <c r="M8" s="59"/>
    </row>
    <row r="9" spans="3:13" ht="15" customHeight="1">
      <c r="C9" s="58"/>
      <c r="D9" s="82"/>
      <c r="E9" s="252"/>
      <c r="F9" s="252"/>
      <c r="G9" s="252"/>
      <c r="H9" s="252"/>
      <c r="I9" s="252"/>
      <c r="J9" s="252"/>
      <c r="K9" s="252"/>
      <c r="L9" s="83"/>
      <c r="M9" s="59"/>
    </row>
    <row r="10" spans="3:13" ht="15" customHeight="1">
      <c r="C10" s="58"/>
      <c r="D10" s="82"/>
      <c r="E10" s="252"/>
      <c r="F10" s="252"/>
      <c r="G10" s="252"/>
      <c r="H10" s="252"/>
      <c r="I10" s="252"/>
      <c r="J10" s="252"/>
      <c r="K10" s="252"/>
      <c r="L10" s="83"/>
      <c r="M10" s="59"/>
    </row>
    <row r="11" spans="3:13" ht="15" customHeight="1">
      <c r="C11" s="58"/>
      <c r="D11" s="82"/>
      <c r="E11" s="252"/>
      <c r="F11" s="252"/>
      <c r="G11" s="252"/>
      <c r="H11" s="252"/>
      <c r="I11" s="252"/>
      <c r="J11" s="252"/>
      <c r="K11" s="252"/>
      <c r="L11" s="83"/>
      <c r="M11" s="59"/>
    </row>
    <row r="12" spans="3:13" ht="15" customHeight="1">
      <c r="C12" s="58"/>
      <c r="D12" s="82"/>
      <c r="E12" s="252"/>
      <c r="F12" s="252"/>
      <c r="G12" s="252"/>
      <c r="H12" s="252"/>
      <c r="I12" s="252"/>
      <c r="J12" s="252"/>
      <c r="K12" s="252"/>
      <c r="L12" s="83"/>
      <c r="M12" s="59"/>
    </row>
    <row r="13" spans="3:13" ht="15" customHeight="1">
      <c r="C13" s="58"/>
      <c r="D13" s="82"/>
      <c r="E13" s="252"/>
      <c r="F13" s="252"/>
      <c r="G13" s="252"/>
      <c r="H13" s="252"/>
      <c r="I13" s="252"/>
      <c r="J13" s="252"/>
      <c r="K13" s="252"/>
      <c r="L13" s="83"/>
      <c r="M13" s="59"/>
    </row>
    <row r="14" spans="3:13">
      <c r="C14" s="58"/>
      <c r="D14" s="82"/>
      <c r="E14" s="252"/>
      <c r="F14" s="252"/>
      <c r="G14" s="252"/>
      <c r="H14" s="252"/>
      <c r="I14" s="252"/>
      <c r="J14" s="252"/>
      <c r="K14" s="252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53"/>
      <c r="E17" s="253"/>
      <c r="F17" s="253"/>
      <c r="G17" s="253"/>
      <c r="H17" s="253"/>
      <c r="I17" s="253"/>
      <c r="J17" s="253"/>
      <c r="K17" s="253"/>
      <c r="L17" s="253"/>
      <c r="M17" s="59"/>
    </row>
    <row r="18" spans="3:13">
      <c r="C18" s="58"/>
      <c r="D18" s="253"/>
      <c r="E18" s="253"/>
      <c r="F18" s="253"/>
      <c r="G18" s="253"/>
      <c r="H18" s="253"/>
      <c r="I18" s="253"/>
      <c r="J18" s="253"/>
      <c r="K18" s="253"/>
      <c r="L18" s="253"/>
      <c r="M18" s="59"/>
    </row>
    <row r="19" spans="3:13">
      <c r="C19" s="58"/>
      <c r="D19" s="253"/>
      <c r="E19" s="253"/>
      <c r="F19" s="253"/>
      <c r="G19" s="253"/>
      <c r="H19" s="253"/>
      <c r="I19" s="253"/>
      <c r="J19" s="253"/>
      <c r="K19" s="253"/>
      <c r="L19" s="253"/>
      <c r="M19" s="59"/>
    </row>
    <row r="20" spans="3:13">
      <c r="C20" s="58"/>
      <c r="D20" s="253"/>
      <c r="E20" s="253"/>
      <c r="F20" s="253"/>
      <c r="G20" s="253"/>
      <c r="H20" s="253"/>
      <c r="I20" s="253"/>
      <c r="J20" s="253"/>
      <c r="K20" s="253"/>
      <c r="L20" s="253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topLeftCell="A53" zoomScaleNormal="100" workbookViewId="0">
      <selection activeCell="P72" sqref="P72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263" t="s">
        <v>74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5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73" t="s">
        <v>81</v>
      </c>
      <c r="D4" s="274"/>
      <c r="E4" s="274"/>
      <c r="F4" s="275"/>
      <c r="G4" s="190"/>
      <c r="H4" s="194"/>
      <c r="I4" s="273" t="s">
        <v>123</v>
      </c>
      <c r="J4" s="264"/>
      <c r="K4" s="264"/>
      <c r="L4" s="264"/>
      <c r="M4" s="264"/>
      <c r="N4" s="264"/>
      <c r="O4" s="264"/>
      <c r="P4" s="264"/>
      <c r="Q4" s="264"/>
      <c r="R4" s="265"/>
      <c r="S4" s="195"/>
      <c r="T4" s="189"/>
      <c r="U4" s="273" t="s">
        <v>82</v>
      </c>
      <c r="V4" s="274"/>
      <c r="W4" s="275"/>
      <c r="X4" s="190"/>
    </row>
    <row r="5" spans="2:24" ht="30" customHeight="1">
      <c r="B5" s="56"/>
      <c r="C5" s="257" t="s">
        <v>85</v>
      </c>
      <c r="D5" s="258"/>
      <c r="E5" s="258"/>
      <c r="F5" s="259"/>
      <c r="G5" s="22"/>
      <c r="H5" s="57"/>
      <c r="I5" s="257" t="s">
        <v>86</v>
      </c>
      <c r="J5" s="268"/>
      <c r="K5" s="268"/>
      <c r="L5" s="268"/>
      <c r="M5" s="268"/>
      <c r="N5" s="268"/>
      <c r="O5" s="268"/>
      <c r="P5" s="268"/>
      <c r="Q5" s="268"/>
      <c r="R5" s="269"/>
      <c r="S5" s="39"/>
      <c r="T5" s="56"/>
      <c r="U5" s="257" t="s">
        <v>125</v>
      </c>
      <c r="V5" s="258"/>
      <c r="W5" s="259"/>
      <c r="X5" s="22"/>
    </row>
    <row r="6" spans="2:24" ht="30" customHeight="1" thickBot="1">
      <c r="B6" s="56"/>
      <c r="C6" s="260"/>
      <c r="D6" s="261"/>
      <c r="E6" s="261"/>
      <c r="F6" s="262"/>
      <c r="G6" s="22"/>
      <c r="H6" s="57"/>
      <c r="I6" s="270"/>
      <c r="J6" s="271"/>
      <c r="K6" s="271"/>
      <c r="L6" s="271"/>
      <c r="M6" s="271"/>
      <c r="N6" s="271"/>
      <c r="O6" s="271"/>
      <c r="P6" s="271"/>
      <c r="Q6" s="271"/>
      <c r="R6" s="272"/>
      <c r="S6" s="39"/>
      <c r="T6" s="56"/>
      <c r="U6" s="260"/>
      <c r="V6" s="261"/>
      <c r="W6" s="262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54" t="s">
        <v>0</v>
      </c>
      <c r="E8" s="266"/>
      <c r="F8" s="17"/>
      <c r="G8" s="191"/>
      <c r="H8" s="60"/>
      <c r="I8" s="21"/>
      <c r="J8" s="254" t="s">
        <v>124</v>
      </c>
      <c r="K8" s="267"/>
      <c r="L8" s="267"/>
      <c r="M8" s="267"/>
      <c r="N8" s="267"/>
      <c r="O8" s="267"/>
      <c r="P8" s="267"/>
      <c r="Q8" s="266"/>
      <c r="R8" s="30"/>
      <c r="S8" s="23"/>
      <c r="T8" s="58"/>
      <c r="U8" s="27"/>
      <c r="V8" s="4" t="s">
        <v>24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17</v>
      </c>
      <c r="L9" s="159" t="s">
        <v>18</v>
      </c>
      <c r="M9" s="159" t="s">
        <v>19</v>
      </c>
      <c r="N9" s="159" t="s">
        <v>20</v>
      </c>
      <c r="O9" s="159" t="s">
        <v>21</v>
      </c>
      <c r="P9" s="159" t="s">
        <v>22</v>
      </c>
      <c r="Q9" s="160" t="s">
        <v>23</v>
      </c>
      <c r="R9" s="30"/>
      <c r="S9" s="23"/>
      <c r="T9" s="58"/>
      <c r="U9" s="27"/>
      <c r="V9" s="113" t="s">
        <v>59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119</v>
      </c>
      <c r="F16" s="20"/>
      <c r="G16" s="22"/>
      <c r="H16" s="60"/>
      <c r="I16" s="21"/>
      <c r="J16" s="162">
        <f t="shared" si="0"/>
        <v>7</v>
      </c>
      <c r="K16" s="105"/>
      <c r="L16" s="156" t="s">
        <v>71</v>
      </c>
      <c r="M16" s="105"/>
      <c r="N16" s="156"/>
      <c r="O16" s="105"/>
      <c r="P16" s="156" t="s">
        <v>71</v>
      </c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77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9</v>
      </c>
      <c r="F19" s="20"/>
      <c r="G19" s="59"/>
      <c r="H19" s="60"/>
      <c r="I19" s="21"/>
      <c r="J19" s="254" t="s">
        <v>78</v>
      </c>
      <c r="K19" s="255"/>
      <c r="L19" s="255"/>
      <c r="M19" s="255"/>
      <c r="N19" s="255"/>
      <c r="O19" s="255"/>
      <c r="P19" s="255"/>
      <c r="Q19" s="256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10</v>
      </c>
      <c r="F20" s="20"/>
      <c r="G20" s="22"/>
      <c r="H20" s="60"/>
      <c r="I20" s="21"/>
      <c r="J20" s="142" t="s">
        <v>1</v>
      </c>
      <c r="K20" s="143" t="s">
        <v>17</v>
      </c>
      <c r="L20" s="143" t="s">
        <v>18</v>
      </c>
      <c r="M20" s="143" t="s">
        <v>19</v>
      </c>
      <c r="N20" s="143" t="s">
        <v>20</v>
      </c>
      <c r="O20" s="143" t="s">
        <v>21</v>
      </c>
      <c r="P20" s="143" t="s">
        <v>22</v>
      </c>
      <c r="Q20" s="144" t="s">
        <v>23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11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12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13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14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15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79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71</v>
      </c>
      <c r="M27" s="151"/>
      <c r="N27" s="152"/>
      <c r="O27" s="151"/>
      <c r="P27" s="152" t="s">
        <v>71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t="15.75" thickBot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thickBot="1">
      <c r="B61" s="58"/>
      <c r="C61" s="27"/>
      <c r="D61" s="27"/>
      <c r="E61" s="27"/>
      <c r="F61" s="27"/>
      <c r="G61" s="27"/>
      <c r="H61" s="60"/>
      <c r="I61" s="21"/>
      <c r="J61" s="136" t="s">
        <v>25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>
      <c r="B62" s="58"/>
      <c r="C62" s="27"/>
      <c r="D62" s="27"/>
      <c r="E62" s="27"/>
      <c r="F62" s="27"/>
      <c r="G62" s="27"/>
      <c r="H62" s="60"/>
      <c r="I62" s="21"/>
      <c r="J62" s="1" t="s">
        <v>16</v>
      </c>
      <c r="K62" s="5" t="s">
        <v>26</v>
      </c>
      <c r="L62" s="5" t="s">
        <v>27</v>
      </c>
      <c r="M62" s="5" t="s">
        <v>28</v>
      </c>
      <c r="N62" s="5" t="s">
        <v>29</v>
      </c>
      <c r="O62" s="5" t="s">
        <v>30</v>
      </c>
      <c r="P62" s="5" t="s">
        <v>22</v>
      </c>
      <c r="Q62" s="6" t="s">
        <v>26</v>
      </c>
      <c r="R62" s="32"/>
      <c r="S62" s="26"/>
      <c r="T62" s="27"/>
      <c r="U62" s="27"/>
      <c r="V62" s="61">
        <v>41519</v>
      </c>
      <c r="W62" s="62"/>
      <c r="X62" s="59"/>
    </row>
    <row r="63" spans="2:24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t="15.75" thickBot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thickBot="1">
      <c r="B68" s="58"/>
      <c r="C68" s="27"/>
      <c r="D68" s="27"/>
      <c r="E68" s="27"/>
      <c r="F68" s="27"/>
      <c r="G68" s="27"/>
      <c r="H68" s="60"/>
      <c r="I68" s="21"/>
      <c r="J68" s="136" t="s">
        <v>31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>
      <c r="B69" s="58"/>
      <c r="C69" s="27"/>
      <c r="D69" s="27"/>
      <c r="E69" s="27"/>
      <c r="F69" s="27"/>
      <c r="G69" s="27"/>
      <c r="H69" s="60"/>
      <c r="I69" s="21"/>
      <c r="J69" s="1" t="s">
        <v>16</v>
      </c>
      <c r="K69" s="5" t="s">
        <v>26</v>
      </c>
      <c r="L69" s="5" t="s">
        <v>27</v>
      </c>
      <c r="M69" s="5" t="s">
        <v>28</v>
      </c>
      <c r="N69" s="5" t="s">
        <v>29</v>
      </c>
      <c r="O69" s="5" t="s">
        <v>30</v>
      </c>
      <c r="P69" s="5" t="s">
        <v>22</v>
      </c>
      <c r="Q69" s="6" t="s">
        <v>26</v>
      </c>
      <c r="R69" s="29"/>
      <c r="S69" s="25"/>
      <c r="T69" s="27"/>
      <c r="U69" s="27"/>
      <c r="V69" s="61">
        <v>41605</v>
      </c>
      <c r="W69" s="95"/>
      <c r="X69" s="59"/>
    </row>
    <row r="70" spans="2:24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32</v>
      </c>
      <c r="M70" s="13" t="s">
        <v>33</v>
      </c>
      <c r="N70" s="13" t="s">
        <v>34</v>
      </c>
      <c r="O70" s="13" t="s">
        <v>33</v>
      </c>
      <c r="P70" s="13" t="s">
        <v>32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35</v>
      </c>
      <c r="M71" s="13" t="s">
        <v>35</v>
      </c>
      <c r="N71" s="13" t="s">
        <v>36</v>
      </c>
      <c r="O71" s="13" t="s">
        <v>37</v>
      </c>
      <c r="P71" s="13" t="s">
        <v>35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38</v>
      </c>
      <c r="M72" s="13" t="s">
        <v>38</v>
      </c>
      <c r="N72" s="13" t="s">
        <v>39</v>
      </c>
      <c r="O72" s="13" t="s">
        <v>39</v>
      </c>
      <c r="P72" s="13" t="s">
        <v>40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41</v>
      </c>
      <c r="M73" s="13" t="s">
        <v>41</v>
      </c>
      <c r="N73" s="13" t="s">
        <v>41</v>
      </c>
      <c r="O73" s="13" t="s">
        <v>41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42</v>
      </c>
      <c r="M74" s="13" t="s">
        <v>42</v>
      </c>
      <c r="N74" s="13" t="s">
        <v>43</v>
      </c>
      <c r="O74" s="13" t="s">
        <v>42</v>
      </c>
      <c r="P74" s="13" t="s">
        <v>42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44</v>
      </c>
      <c r="M75" s="13" t="s">
        <v>44</v>
      </c>
      <c r="N75" s="13" t="s">
        <v>45</v>
      </c>
      <c r="O75" s="13" t="s">
        <v>45</v>
      </c>
      <c r="P75" s="13" t="s">
        <v>44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46</v>
      </c>
      <c r="M76" s="13" t="s">
        <v>46</v>
      </c>
      <c r="N76" s="13" t="s">
        <v>47</v>
      </c>
      <c r="O76" s="13" t="s">
        <v>47</v>
      </c>
      <c r="P76" s="13" t="s">
        <v>46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48</v>
      </c>
      <c r="M77" s="15" t="s">
        <v>48</v>
      </c>
      <c r="N77" s="15" t="s">
        <v>48</v>
      </c>
      <c r="O77" s="15" t="s">
        <v>48</v>
      </c>
      <c r="P77" s="15" t="s">
        <v>49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t="15.75" thickBot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thickBot="1">
      <c r="B79" s="58"/>
      <c r="C79" s="27"/>
      <c r="D79" s="27"/>
      <c r="E79" s="27"/>
      <c r="F79" s="27"/>
      <c r="G79" s="27"/>
      <c r="H79" s="60"/>
      <c r="I79" s="21"/>
      <c r="J79" s="136" t="s">
        <v>72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>
      <c r="B80" s="58"/>
      <c r="C80" s="27"/>
      <c r="D80" s="27"/>
      <c r="E80" s="27"/>
      <c r="F80" s="27"/>
      <c r="G80" s="27"/>
      <c r="H80" s="60"/>
      <c r="I80" s="21"/>
      <c r="J80" s="99" t="s">
        <v>16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t="15.75" thickBot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thickBot="1">
      <c r="B86" s="58"/>
      <c r="C86" s="27"/>
      <c r="D86" s="27"/>
      <c r="E86" s="27"/>
      <c r="F86" s="27"/>
      <c r="G86" s="27"/>
      <c r="H86" s="60"/>
      <c r="I86" s="21"/>
      <c r="J86" s="136" t="s">
        <v>73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>
      <c r="B87" s="58"/>
      <c r="C87" s="27"/>
      <c r="D87" s="27"/>
      <c r="E87" s="27"/>
      <c r="F87" s="27"/>
      <c r="G87" s="27"/>
      <c r="H87" s="60"/>
      <c r="I87" s="21"/>
      <c r="J87" s="99" t="s">
        <v>16</v>
      </c>
      <c r="K87" s="100" t="s">
        <v>17</v>
      </c>
      <c r="L87" s="100" t="s">
        <v>18</v>
      </c>
      <c r="M87" s="100" t="s">
        <v>19</v>
      </c>
      <c r="N87" s="100" t="s">
        <v>20</v>
      </c>
      <c r="O87" s="100" t="s">
        <v>21</v>
      </c>
      <c r="P87" s="100" t="s">
        <v>22</v>
      </c>
      <c r="Q87" s="101" t="s">
        <v>23</v>
      </c>
      <c r="R87" s="29"/>
      <c r="S87" s="25"/>
      <c r="T87" s="27"/>
      <c r="U87" s="27"/>
      <c r="V87" s="61">
        <v>41637</v>
      </c>
      <c r="W87" s="95"/>
      <c r="X87" s="59"/>
    </row>
    <row r="88" spans="2:24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8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8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2"/>
  <sheetViews>
    <sheetView showGridLines="0" zoomScaleNormal="100" workbookViewId="0">
      <selection activeCell="J1" sqref="J1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249" t="s">
        <v>58</v>
      </c>
      <c r="C2" s="250"/>
      <c r="D2" s="250"/>
      <c r="E2" s="250"/>
      <c r="F2" s="250"/>
      <c r="G2" s="250"/>
      <c r="H2" s="250"/>
      <c r="I2" s="250"/>
      <c r="J2" s="250"/>
      <c r="K2" s="250"/>
      <c r="L2" s="251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54" t="s">
        <v>80</v>
      </c>
      <c r="D4" s="288"/>
      <c r="E4" s="289"/>
      <c r="F4" s="39"/>
      <c r="G4" s="49"/>
      <c r="H4" s="290" t="s">
        <v>84</v>
      </c>
      <c r="I4" s="291"/>
      <c r="J4" s="291"/>
      <c r="K4" s="292"/>
      <c r="L4" s="47"/>
    </row>
    <row r="5" spans="2:15" ht="15" customHeight="1">
      <c r="B5" s="57"/>
      <c r="C5" s="276" t="s">
        <v>83</v>
      </c>
      <c r="D5" s="277"/>
      <c r="E5" s="278"/>
      <c r="F5" s="39"/>
      <c r="G5" s="49"/>
      <c r="H5" s="282" t="s">
        <v>118</v>
      </c>
      <c r="I5" s="283"/>
      <c r="J5" s="283"/>
      <c r="K5" s="284"/>
      <c r="L5" s="47"/>
    </row>
    <row r="6" spans="2:15" ht="30" customHeight="1" thickBot="1">
      <c r="B6" s="57"/>
      <c r="C6" s="279"/>
      <c r="D6" s="280"/>
      <c r="E6" s="281"/>
      <c r="F6" s="39"/>
      <c r="G6" s="49"/>
      <c r="H6" s="285"/>
      <c r="I6" s="286"/>
      <c r="J6" s="286"/>
      <c r="K6" s="287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53</v>
      </c>
      <c r="E8" s="34"/>
      <c r="F8" s="23"/>
      <c r="G8" s="74"/>
      <c r="H8" s="254" t="s">
        <v>50</v>
      </c>
      <c r="I8" s="267"/>
      <c r="J8" s="267"/>
      <c r="K8" s="266"/>
      <c r="L8" s="44"/>
    </row>
    <row r="9" spans="2:15" ht="15.75" thickBot="1">
      <c r="B9" s="60"/>
      <c r="C9" s="21"/>
      <c r="D9" s="134" t="s">
        <v>54</v>
      </c>
      <c r="E9" s="34"/>
      <c r="F9" s="35"/>
      <c r="G9" s="74"/>
      <c r="H9" s="123" t="str">
        <f>INDEX(Setup!K87:Q87, 1, I9)</f>
        <v>E</v>
      </c>
      <c r="I9" s="124">
        <f>MOD(D27, 7)+1</f>
        <v>5</v>
      </c>
      <c r="J9" s="180" t="str">
        <f>CHOOSE(D29, "Sunday", "Monday", "Tuesday", "Wednesday", "Thursday", "Friday", "Saturday")</f>
        <v>Friday</v>
      </c>
      <c r="K9" s="125">
        <f>D13</f>
        <v>41649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16</v>
      </c>
      <c r="I10" s="127" t="s">
        <v>1</v>
      </c>
      <c r="J10" s="128" t="s">
        <v>51</v>
      </c>
      <c r="K10" s="129" t="s">
        <v>52</v>
      </c>
      <c r="L10" s="46"/>
    </row>
    <row r="11" spans="2:15">
      <c r="B11" s="60"/>
      <c r="C11" s="21"/>
      <c r="D11" s="135" t="s">
        <v>55</v>
      </c>
      <c r="E11" s="38"/>
      <c r="F11" s="39"/>
      <c r="G11" s="74"/>
      <c r="H11" s="114">
        <v>0.5</v>
      </c>
      <c r="I11" s="115">
        <f t="shared" ref="I11:I18" si="0">J35</f>
        <v>9</v>
      </c>
      <c r="J11" s="116" t="str">
        <f>INDEX(Setup!$E$10:$E$26, Schedule!I11 + 1, 1)</f>
        <v>Office Hours</v>
      </c>
      <c r="K11" s="117" t="str">
        <f t="shared" ref="K11:K18" si="1">IF(J35=16,0, K26)</f>
        <v>8:00-8:30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3</v>
      </c>
      <c r="J12" s="131" t="str">
        <f>INDEX(Setup!$E$10:$E$26, Schedule!I12 + 1, 1)</f>
        <v>Physics</v>
      </c>
      <c r="K12" s="132" t="str">
        <f>IF(J36=16,0, K27)</f>
        <v>8:30-9:40</v>
      </c>
      <c r="L12" s="47"/>
    </row>
    <row r="13" spans="2:15">
      <c r="B13" s="60"/>
      <c r="C13" s="21"/>
      <c r="D13" s="177">
        <v>41649</v>
      </c>
      <c r="E13" s="38"/>
      <c r="F13" s="39"/>
      <c r="G13" s="74"/>
      <c r="H13" s="114">
        <v>1.5</v>
      </c>
      <c r="I13" s="115">
        <f t="shared" si="0"/>
        <v>12</v>
      </c>
      <c r="J13" s="116" t="str">
        <f>INDEX(Setup!$E$10:$E$26, Schedule!I13 + 1, 1)</f>
        <v>ADV</v>
      </c>
      <c r="K13" s="117" t="str">
        <f t="shared" si="1"/>
        <v>9:40-9:55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4</v>
      </c>
      <c r="J14" s="131" t="str">
        <f>INDEX(Setup!$E$10:$E$26, Schedule!I14 + 1, 1)</f>
        <v>Bible</v>
      </c>
      <c r="K14" s="132" t="str">
        <f t="shared" si="1"/>
        <v>9:55-11:05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5</v>
      </c>
      <c r="J15" s="131" t="str">
        <f>INDEX(Setup!$E$10:$E$26, Schedule!I15 + 1, 1)</f>
        <v>English</v>
      </c>
      <c r="K15" s="132" t="str">
        <f t="shared" si="1"/>
        <v>11:05-1:10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1:10-1:20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6</v>
      </c>
      <c r="J17" s="131" t="str">
        <f>INDEX(Setup!$E$10:$E$26, Schedule!I17 + 1, 1)</f>
        <v>Orchestra</v>
      </c>
      <c r="K17" s="132" t="str">
        <f t="shared" si="1"/>
        <v>1:20-2:30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0</v>
      </c>
      <c r="J18" s="121" t="str">
        <f>INDEX(Setup!$E$10:$E$26, Schedule!I18 + 1, 1)</f>
        <v>Weekend</v>
      </c>
      <c r="K18" s="122">
        <f t="shared" si="1"/>
        <v>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6" spans="2:12">
      <c r="D26" s="106" t="s">
        <v>56</v>
      </c>
      <c r="H26" s="114">
        <v>0.5</v>
      </c>
      <c r="I26" s="115">
        <f>INDEX(Setup!$K$63:$Q$66, 1, $D$29)</f>
        <v>9</v>
      </c>
      <c r="J26" s="55">
        <f>IF(AND($D$29&lt;7, $D$29&gt;1), I26, 0)</f>
        <v>9</v>
      </c>
      <c r="K26" s="117" t="str">
        <f>INDEX(Setup!K70:Q73,1, Schedule!D29)</f>
        <v>8:00-8:30</v>
      </c>
    </row>
    <row r="27" spans="2:12" ht="15.75" thickBot="1">
      <c r="D27" s="107">
        <f>MAX(NETWORKDAYS(Schedule!D10, Schedule!D13,Setup!V61:V123)-1, 0)</f>
        <v>81</v>
      </c>
      <c r="H27" s="130">
        <v>1</v>
      </c>
      <c r="I27" s="133">
        <f>INDEX(Setup!$K$88:$Q$91, Schedule!H27, $I$9)</f>
        <v>3</v>
      </c>
      <c r="J27" s="55">
        <f t="shared" ref="J27:J33" si="2">IF(AND($D$29&lt;7, $D$29&gt;1), I27, 0)</f>
        <v>3</v>
      </c>
      <c r="K27" s="132" t="str">
        <f>INDEX(Setup!$K$74:$Q$77,1, Schedule!D29)</f>
        <v>8:30-9:40</v>
      </c>
    </row>
    <row r="28" spans="2:12">
      <c r="D28" s="106" t="s">
        <v>57</v>
      </c>
      <c r="H28" s="114">
        <v>1.5</v>
      </c>
      <c r="I28" s="118">
        <f>INDEX(Setup!$K$63:$Q$66, 2, $D$29)</f>
        <v>12</v>
      </c>
      <c r="J28" s="55">
        <f t="shared" si="2"/>
        <v>12</v>
      </c>
      <c r="K28" s="117" t="str">
        <f>INDEX(Setup!K70:Q73,2, Schedule!D29)</f>
        <v>9:40-9:55</v>
      </c>
    </row>
    <row r="29" spans="2:12" ht="15.75" thickBot="1">
      <c r="D29" s="107">
        <f>WEEKDAY(D13)</f>
        <v>6</v>
      </c>
      <c r="H29" s="130">
        <v>2</v>
      </c>
      <c r="I29" s="133">
        <f>INDEX(Setup!$K$88:$Q$91, Schedule!H29, $I$9)</f>
        <v>4</v>
      </c>
      <c r="J29" s="55">
        <f t="shared" si="2"/>
        <v>4</v>
      </c>
      <c r="K29" s="132" t="str">
        <f>INDEX(Setup!K74:Q77,H14, Schedule!D29)</f>
        <v>9:55-11:05</v>
      </c>
    </row>
    <row r="30" spans="2:12">
      <c r="H30" s="130">
        <v>3</v>
      </c>
      <c r="I30" s="133">
        <f>INDEX(Setup!$K$88:$Q$91, Schedule!H30, $I$9)</f>
        <v>5</v>
      </c>
      <c r="J30" s="55">
        <f t="shared" si="2"/>
        <v>5</v>
      </c>
      <c r="K30" s="132" t="str">
        <f>INDEX(Setup!K74:Q77,H15, Schedule!D29)</f>
        <v>11:05-1:10</v>
      </c>
    </row>
    <row r="31" spans="2:12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1:10-1:20</v>
      </c>
    </row>
    <row r="32" spans="2:12">
      <c r="H32" s="130">
        <v>4</v>
      </c>
      <c r="I32" s="133">
        <f>INDEX(Setup!$K$88:$Q$91, Schedule!H32, $I$9)</f>
        <v>6</v>
      </c>
      <c r="J32" s="55">
        <f t="shared" si="2"/>
        <v>6</v>
      </c>
      <c r="K32" s="132" t="str">
        <f>INDEX(Setup!K74:Q77,H17, Schedule!D29)</f>
        <v>1:20-2:30</v>
      </c>
    </row>
    <row r="33" spans="8:11" ht="15.75" thickBot="1">
      <c r="H33" s="119">
        <v>4.5</v>
      </c>
      <c r="I33" s="120">
        <f>INDEX(Setup!$K$63:$Q$66, 4, $D$29)</f>
        <v>0</v>
      </c>
      <c r="J33" s="55">
        <f t="shared" si="2"/>
        <v>0</v>
      </c>
      <c r="K33" s="122">
        <f>INDEX(Setup!K70:Q73,4, Schedule!D29)</f>
        <v>0</v>
      </c>
    </row>
    <row r="35" spans="8:11">
      <c r="J35" s="55">
        <f>IF(ISERROR(MATCH($K$9, Setup!$V$10:$V$123, 0)), Schedule!J26, Setup!$D$26)</f>
        <v>9</v>
      </c>
    </row>
    <row r="36" spans="8:11">
      <c r="J36" s="55">
        <f>IF(ISERROR(MATCH($K$9, Setup!$V$10:$V$123, 0)), Schedule!J27, Setup!$D$26)</f>
        <v>3</v>
      </c>
    </row>
    <row r="37" spans="8:11">
      <c r="J37" s="55">
        <f>IF(ISERROR(MATCH($K$9, Setup!$V$10:$V$123, 0)), Schedule!J28, Setup!$D$26)</f>
        <v>12</v>
      </c>
    </row>
    <row r="38" spans="8:11">
      <c r="J38" s="55">
        <f>IF(ISERROR(MATCH($K$9, Setup!$V$10:$V$123, 0)), Schedule!J29, Setup!$D$26)</f>
        <v>4</v>
      </c>
    </row>
    <row r="39" spans="8:11">
      <c r="J39" s="55">
        <f>IF(ISERROR(MATCH($K$9, Setup!$V$10:$V$123, 0)), Schedule!J30, Setup!$D$26)</f>
        <v>5</v>
      </c>
    </row>
    <row r="40" spans="8:11">
      <c r="J40" s="55">
        <f>IF(ISERROR(MATCH($K$9, Setup!$V$10:$V$123, 0)), Schedule!J31, Setup!$D$26)</f>
        <v>10</v>
      </c>
    </row>
    <row r="41" spans="8:11">
      <c r="J41" s="55">
        <f>IF(ISERROR(MATCH($K$9, Setup!$V$10:$V$123, 0)), Schedule!J32, Setup!$D$26)</f>
        <v>6</v>
      </c>
    </row>
    <row r="42" spans="8:11">
      <c r="J42" s="55">
        <f>IF(ISERROR(MATCH($K$9, Setup!$V$10:$V$123, 0)), Schedule!J33, Setup!$D$26)</f>
        <v>0</v>
      </c>
    </row>
  </sheetData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5"/>
  <sheetViews>
    <sheetView showGridLines="0" topLeftCell="A11" zoomScaleNormal="100" workbookViewId="0">
      <selection activeCell="M17" sqref="M17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customWidth="1"/>
    <col min="16" max="16" width="9.5703125" style="55" hidden="1" customWidth="1"/>
    <col min="17" max="17" width="12.4257812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24" ht="39.950000000000003" customHeight="1" thickBot="1"/>
    <row r="2" spans="2:24" ht="30" customHeight="1" thickBot="1">
      <c r="B2" s="293" t="str">
        <f>CONCATENATE(R2, " (", T2, " - ", U2, ")")</f>
        <v>Weekly Schedule (8/26/13 - 8/30/13)</v>
      </c>
      <c r="C2" s="294"/>
      <c r="D2" s="294"/>
      <c r="E2" s="294"/>
      <c r="F2" s="294"/>
      <c r="G2" s="294"/>
      <c r="H2" s="294"/>
      <c r="I2" s="295"/>
      <c r="R2" s="55" t="s">
        <v>117</v>
      </c>
      <c r="T2" s="55" t="str">
        <f>TEXT(D10, "m/d/yy")</f>
        <v>8/26/13</v>
      </c>
      <c r="U2" s="55" t="str">
        <f>TEXT(H10, "m/d/yy")</f>
        <v>8/30/13</v>
      </c>
    </row>
    <row r="3" spans="2:24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24" ht="15" customHeight="1" thickBot="1">
      <c r="B4" s="206"/>
      <c r="C4" s="324" t="s">
        <v>120</v>
      </c>
      <c r="D4" s="335"/>
      <c r="E4" s="335"/>
      <c r="F4" s="325"/>
      <c r="G4" s="324" t="s">
        <v>121</v>
      </c>
      <c r="H4" s="325"/>
      <c r="I4" s="207"/>
    </row>
    <row r="5" spans="2:24" ht="15" customHeight="1">
      <c r="B5" s="206"/>
      <c r="C5" s="326" t="s">
        <v>122</v>
      </c>
      <c r="D5" s="327"/>
      <c r="E5" s="327"/>
      <c r="F5" s="328"/>
      <c r="G5" s="246"/>
      <c r="H5" s="243"/>
      <c r="I5" s="207"/>
    </row>
    <row r="6" spans="2:24" ht="39.950000000000003" customHeight="1">
      <c r="B6" s="206"/>
      <c r="C6" s="329"/>
      <c r="D6" s="330"/>
      <c r="E6" s="330"/>
      <c r="F6" s="331"/>
      <c r="G6" s="248">
        <v>41515</v>
      </c>
      <c r="H6" s="244"/>
      <c r="I6" s="207"/>
    </row>
    <row r="7" spans="2:24" ht="15" customHeight="1" thickBot="1">
      <c r="B7" s="206"/>
      <c r="C7" s="332"/>
      <c r="D7" s="333"/>
      <c r="E7" s="333"/>
      <c r="F7" s="334"/>
      <c r="G7" s="247"/>
      <c r="H7" s="245"/>
      <c r="I7" s="207"/>
    </row>
    <row r="8" spans="2:24" ht="15" customHeight="1" thickBot="1">
      <c r="B8" s="58"/>
      <c r="C8" s="27"/>
      <c r="D8" s="27"/>
      <c r="E8" s="27"/>
      <c r="F8" s="27"/>
      <c r="G8" s="27"/>
      <c r="H8" s="27"/>
      <c r="I8" s="59"/>
    </row>
    <row r="9" spans="2:24" ht="15" customHeight="1" thickBot="1">
      <c r="B9" s="58"/>
      <c r="C9" s="254" t="s">
        <v>117</v>
      </c>
      <c r="D9" s="267"/>
      <c r="E9" s="267"/>
      <c r="F9" s="267"/>
      <c r="G9" s="267"/>
      <c r="H9" s="266"/>
      <c r="I9" s="59"/>
    </row>
    <row r="10" spans="2:24">
      <c r="B10" s="58"/>
      <c r="C10" s="239"/>
      <c r="D10" s="240">
        <f>Q10 - (WEEKDAY(Q10) - 2)</f>
        <v>41512</v>
      </c>
      <c r="E10" s="240">
        <f>D10+1</f>
        <v>41513</v>
      </c>
      <c r="F10" s="241">
        <f t="shared" ref="F10:H10" si="0">E10+1</f>
        <v>41514</v>
      </c>
      <c r="G10" s="208">
        <f t="shared" si="0"/>
        <v>41515</v>
      </c>
      <c r="H10" s="242">
        <f t="shared" si="0"/>
        <v>41516</v>
      </c>
      <c r="I10" s="59"/>
      <c r="Q10" s="209">
        <f>G6</f>
        <v>41515</v>
      </c>
    </row>
    <row r="11" spans="2:24">
      <c r="B11" s="58"/>
      <c r="C11" s="210"/>
      <c r="D11" s="211" t="str">
        <f>CHOOSE(R13, "Sunday", "Monday", "Tuesday", "Wednesday", "Thursday", "Friday", "Saturday")</f>
        <v>Monday</v>
      </c>
      <c r="E11" s="211" t="str">
        <f>CHOOSE(S13, "Sunday", "Monday", "Tuesday", "Wednesday", "Thursday", "Friday", "Saturday")</f>
        <v>Tuesday</v>
      </c>
      <c r="F11" s="212" t="str">
        <f>CHOOSE(T13, "Sunday", "Monday", "Tuesday", "Wednesday", "Thursday", "Friday", "Saturday")</f>
        <v>Wednesday</v>
      </c>
      <c r="G11" s="213" t="str">
        <f>CHOOSE(U13, "Sunday", "Monday", "Tuesday", "Wednesday", "Thursday", "Friday", "Saturday")</f>
        <v>Thursday</v>
      </c>
      <c r="H11" s="214" t="str">
        <f>CHOOSE(V13, "Sunday", "Monday", "Tuesday", "Wednesday", "Thursday", "Friday", "Saturday")</f>
        <v>Friday</v>
      </c>
      <c r="I11" s="59"/>
    </row>
    <row r="12" spans="2:24">
      <c r="B12" s="58"/>
      <c r="C12" s="210"/>
      <c r="D12" s="211" t="str">
        <f>INDEX(Setup!$K$87:$Q$87, 1, R16)</f>
        <v>A</v>
      </c>
      <c r="E12" s="211" t="str">
        <f>INDEX(Setup!$K$87:$Q$87, 1, S16)</f>
        <v>B</v>
      </c>
      <c r="F12" s="212" t="str">
        <f>INDEX(Setup!$K$87:$Q$87, 1, T16)</f>
        <v>C</v>
      </c>
      <c r="G12" s="213" t="str">
        <f>INDEX(Setup!$K$87:$Q$87, 1, U16)</f>
        <v>D</v>
      </c>
      <c r="H12" s="214" t="str">
        <f>INDEX(Setup!$K$87:$Q$87, 1, V16)</f>
        <v>E</v>
      </c>
      <c r="I12" s="59"/>
    </row>
    <row r="13" spans="2:24" ht="15.75" customHeight="1" thickBot="1">
      <c r="B13" s="58"/>
      <c r="C13" s="215" t="s">
        <v>87</v>
      </c>
      <c r="D13" s="216"/>
      <c r="E13" s="336" t="s">
        <v>88</v>
      </c>
      <c r="F13" s="338" t="s">
        <v>89</v>
      </c>
      <c r="G13" s="341" t="s">
        <v>88</v>
      </c>
      <c r="H13" s="217"/>
      <c r="I13" s="59"/>
      <c r="R13" s="55">
        <f>WEEKDAY(D10)</f>
        <v>2</v>
      </c>
      <c r="S13" s="55">
        <f>WEEKDAY(E10)</f>
        <v>3</v>
      </c>
      <c r="T13" s="55">
        <f>WEEKDAY(F10)</f>
        <v>4</v>
      </c>
      <c r="U13" s="55">
        <f>WEEKDAY(G10)</f>
        <v>5</v>
      </c>
      <c r="V13" s="55">
        <f>WEEKDAY(H10)</f>
        <v>6</v>
      </c>
      <c r="X13" s="55" t="s">
        <v>116</v>
      </c>
    </row>
    <row r="14" spans="2:24" ht="51" customHeight="1">
      <c r="B14" s="58"/>
      <c r="C14" s="218" t="s">
        <v>90</v>
      </c>
      <c r="D14" s="219" t="s">
        <v>91</v>
      </c>
      <c r="E14" s="337"/>
      <c r="F14" s="339"/>
      <c r="G14" s="341"/>
      <c r="H14" s="220" t="s">
        <v>91</v>
      </c>
      <c r="I14" s="59"/>
      <c r="R14" s="55">
        <f>MAX(NETWORKDAYS(Schedule!$D$10,D10,Setup!$V$61:$V$123)-1, 0)</f>
        <v>7</v>
      </c>
      <c r="S14" s="55">
        <f>MAX(NETWORKDAYS(Schedule!$D$10,E10,Setup!$V$61:$V$123)-1, 0)</f>
        <v>8</v>
      </c>
      <c r="T14" s="55">
        <f>MAX(NETWORKDAYS(Schedule!$D$10,F10,Setup!$V$61:$V$123)-1, 0)</f>
        <v>9</v>
      </c>
      <c r="U14" s="55">
        <f>MAX(NETWORKDAYS(Schedule!$D$10,G10,Setup!$V$61:$V$123)-1, 0)</f>
        <v>10</v>
      </c>
      <c r="V14" s="55">
        <f>MAX(NETWORKDAYS(Schedule!$D$10,H10,Setup!$V$61:$V$123)-1, 0)</f>
        <v>11</v>
      </c>
    </row>
    <row r="15" spans="2:24" ht="15.75" customHeight="1" thickBot="1">
      <c r="B15" s="58"/>
      <c r="C15" s="215" t="s">
        <v>92</v>
      </c>
      <c r="D15" s="312" t="str">
        <f>W23</f>
        <v>History
(8:30-9:40)</v>
      </c>
      <c r="E15" s="315" t="str">
        <f>X23</f>
        <v>English
(8:30-9:40)</v>
      </c>
      <c r="F15" s="340"/>
      <c r="G15" s="321" t="str">
        <f>Z23</f>
        <v>Orchestra
(8:30-9:40)</v>
      </c>
      <c r="H15" s="296" t="str">
        <f>AA23</f>
        <v>Physics
(8:30-9:40)</v>
      </c>
      <c r="I15" s="59"/>
    </row>
    <row r="16" spans="2:24" ht="15" customHeight="1">
      <c r="B16" s="58"/>
      <c r="C16" s="218" t="s">
        <v>93</v>
      </c>
      <c r="D16" s="314"/>
      <c r="E16" s="317"/>
      <c r="F16" s="318" t="str">
        <f>Y23</f>
        <v>Math
(9:00-10:10)</v>
      </c>
      <c r="G16" s="321"/>
      <c r="H16" s="298"/>
      <c r="I16" s="59"/>
      <c r="R16" s="55">
        <f>MOD(R14, 7) +1</f>
        <v>1</v>
      </c>
      <c r="S16" s="55">
        <f t="shared" ref="S16:V16" si="1">MOD(S14, 7) +1</f>
        <v>2</v>
      </c>
      <c r="T16" s="55">
        <f t="shared" si="1"/>
        <v>3</v>
      </c>
      <c r="U16" s="55">
        <f t="shared" si="1"/>
        <v>4</v>
      </c>
      <c r="V16" s="55">
        <f t="shared" si="1"/>
        <v>5</v>
      </c>
    </row>
    <row r="17" spans="2:32" ht="15" customHeight="1">
      <c r="B17" s="58"/>
      <c r="C17" s="210" t="s">
        <v>94</v>
      </c>
      <c r="D17" s="216" t="s">
        <v>10</v>
      </c>
      <c r="E17" s="216" t="s">
        <v>10</v>
      </c>
      <c r="F17" s="319"/>
      <c r="G17" s="323" t="s">
        <v>95</v>
      </c>
      <c r="H17" s="217" t="s">
        <v>96</v>
      </c>
      <c r="I17" s="59"/>
    </row>
    <row r="18" spans="2:32" ht="15.75" customHeight="1" thickBot="1">
      <c r="B18" s="58"/>
      <c r="C18" s="215" t="s">
        <v>97</v>
      </c>
      <c r="D18" s="312" t="str">
        <f>W24</f>
        <v>Math
(9:55-11:05)</v>
      </c>
      <c r="E18" s="315" t="str">
        <f>X24</f>
        <v>Orchestra
(9:55-11:05)</v>
      </c>
      <c r="F18" s="319"/>
      <c r="G18" s="323"/>
      <c r="H18" s="296" t="str">
        <f>AA24</f>
        <v>Bible
(9:55-11:05)</v>
      </c>
      <c r="I18" s="59"/>
    </row>
    <row r="19" spans="2:32">
      <c r="B19" s="58"/>
      <c r="C19" s="218" t="s">
        <v>98</v>
      </c>
      <c r="D19" s="313"/>
      <c r="E19" s="316"/>
      <c r="F19" s="320"/>
      <c r="G19" s="323"/>
      <c r="H19" s="297"/>
      <c r="I19" s="59"/>
      <c r="Q19" s="221">
        <v>1</v>
      </c>
      <c r="R19" s="222">
        <f>IF(ISERROR(MATCH(D$10, Setup!$V$10:$V$123, 0)), R29, Setup!$D$26)</f>
        <v>1</v>
      </c>
      <c r="S19" s="222">
        <f>IF(ISERROR(MATCH(E$10, Setup!$V$10:$V$123, 0)), S29, Setup!$D$26)</f>
        <v>5</v>
      </c>
      <c r="T19" s="222">
        <f>IF(ISERROR(MATCH(F$10, Setup!$V$10:$V$123, 0)), T29, Setup!$D$26)</f>
        <v>2</v>
      </c>
      <c r="U19" s="222">
        <f>IF(ISERROR(MATCH(G$10, Setup!$V$10:$V$123, 0)), U29, Setup!$D$26)</f>
        <v>6</v>
      </c>
      <c r="V19" s="222">
        <f>IF(ISERROR(MATCH(H$10, Setup!$V$10:$V$123, 0)), V29, Setup!$D$26)</f>
        <v>3</v>
      </c>
      <c r="W19" s="221" t="str">
        <f>INDEX(Setup!$E$10:$E$26, R19 + 1, 1)</f>
        <v>History</v>
      </c>
      <c r="X19" s="221" t="str">
        <f>INDEX(Setup!$E$10:$E$26, S19 + 1, 1)</f>
        <v>English</v>
      </c>
      <c r="Y19" s="221" t="str">
        <f>INDEX(Setup!$E$10:$E$26, T19 + 1, 1)</f>
        <v>Math</v>
      </c>
      <c r="Z19" s="221" t="str">
        <f>INDEX(Setup!$E$10:$E$26, U19 + 1, 1)</f>
        <v>Orchestra</v>
      </c>
      <c r="AA19" s="221" t="str">
        <f>INDEX(Setup!$E$10:$E$26, V19 + 1, 1)</f>
        <v>Physics</v>
      </c>
      <c r="AB19" s="223" t="str">
        <f t="shared" ref="AB19:AF20" si="2">W19</f>
        <v>History</v>
      </c>
      <c r="AC19" s="223" t="str">
        <f t="shared" si="2"/>
        <v>English</v>
      </c>
      <c r="AD19" s="223" t="str">
        <f t="shared" si="2"/>
        <v>Math</v>
      </c>
      <c r="AE19" s="223" t="str">
        <f t="shared" si="2"/>
        <v>Orchestra</v>
      </c>
      <c r="AF19" s="223" t="str">
        <f t="shared" si="2"/>
        <v>Physics</v>
      </c>
    </row>
    <row r="20" spans="2:32">
      <c r="B20" s="58"/>
      <c r="C20" s="210" t="s">
        <v>99</v>
      </c>
      <c r="D20" s="313"/>
      <c r="E20" s="316"/>
      <c r="F20" s="224" t="s">
        <v>10</v>
      </c>
      <c r="G20" s="323"/>
      <c r="H20" s="297"/>
      <c r="I20" s="59"/>
      <c r="Q20" s="221">
        <v>2</v>
      </c>
      <c r="R20" s="222">
        <f>IF(ISERROR(MATCH(D$10, Setup!$V$10:$V$123, 0)), R30, Setup!$D$26)</f>
        <v>2</v>
      </c>
      <c r="S20" s="222">
        <f>IF(ISERROR(MATCH(E$10, Setup!$V$10:$V$123, 0)), S30, Setup!$D$26)</f>
        <v>6</v>
      </c>
      <c r="T20" s="222">
        <f>IF(ISERROR(MATCH(F$10, Setup!$V$10:$V$123, 0)), T30, Setup!$D$26)</f>
        <v>3</v>
      </c>
      <c r="U20" s="222">
        <f>IF(ISERROR(MATCH(G$10, Setup!$V$10:$V$123, 0)), U30, Setup!$D$26)</f>
        <v>7</v>
      </c>
      <c r="V20" s="222">
        <f>IF(ISERROR(MATCH(H$10, Setup!$V$10:$V$123, 0)), V30, Setup!$D$26)</f>
        <v>4</v>
      </c>
      <c r="W20" s="221" t="str">
        <f>INDEX(Setup!$E$10:$E$26, R20 + 1, 1)</f>
        <v>Math</v>
      </c>
      <c r="X20" s="221" t="str">
        <f>INDEX(Setup!$E$10:$E$26, S20 + 1, 1)</f>
        <v>Orchestra</v>
      </c>
      <c r="Y20" s="221" t="str">
        <f>INDEX(Setup!$E$10:$E$26, T20 + 1, 1)</f>
        <v>Physics</v>
      </c>
      <c r="Z20" s="221" t="str">
        <f>INDEX(Setup!$E$10:$E$26, U20 + 1, 1)</f>
        <v>Physics</v>
      </c>
      <c r="AA20" s="221" t="str">
        <f>INDEX(Setup!$E$10:$E$26, V20 + 1, 1)</f>
        <v>Bible</v>
      </c>
      <c r="AB20" s="223" t="str">
        <f t="shared" si="2"/>
        <v>Math</v>
      </c>
      <c r="AC20" s="223" t="str">
        <f t="shared" si="2"/>
        <v>Orchestra</v>
      </c>
      <c r="AD20" s="223" t="str">
        <f t="shared" si="2"/>
        <v>Physics</v>
      </c>
      <c r="AE20" s="223" t="str">
        <f t="shared" si="2"/>
        <v>Physics</v>
      </c>
      <c r="AF20" s="223" t="str">
        <f t="shared" si="2"/>
        <v>Bible</v>
      </c>
    </row>
    <row r="21" spans="2:32" ht="15.75" customHeight="1" thickBot="1">
      <c r="B21" s="58"/>
      <c r="C21" s="215" t="s">
        <v>100</v>
      </c>
      <c r="D21" s="313"/>
      <c r="E21" s="316"/>
      <c r="F21" s="299" t="str">
        <f>Y24</f>
        <v>Physics
(10:25-11:35)</v>
      </c>
      <c r="G21" s="302" t="str">
        <f>Z24</f>
        <v>Physics
(10:25-11:35)</v>
      </c>
      <c r="H21" s="297"/>
      <c r="I21" s="59"/>
      <c r="Q21" s="221">
        <v>3</v>
      </c>
      <c r="R21" s="222">
        <f>IF(ISERROR(MATCH(D$10, Setup!$V$10:$V$123, 0)), R31, Setup!$D$26)</f>
        <v>3</v>
      </c>
      <c r="S21" s="222">
        <f>IF(ISERROR(MATCH(E$10, Setup!$V$10:$V$123, 0)), S31, Setup!$D$26)</f>
        <v>8</v>
      </c>
      <c r="T21" s="222">
        <f>IF(ISERROR(MATCH(F$10, Setup!$V$10:$V$123, 0)), T31, Setup!$D$26)</f>
        <v>4</v>
      </c>
      <c r="U21" s="222">
        <f>IF(ISERROR(MATCH(G$10, Setup!$V$10:$V$123, 0)), U31, Setup!$D$26)</f>
        <v>1</v>
      </c>
      <c r="V21" s="222">
        <f>IF(ISERROR(MATCH(H$10, Setup!$V$10:$V$123, 0)), V31, Setup!$D$26)</f>
        <v>5</v>
      </c>
      <c r="W21" s="221" t="str">
        <f>INDEX(Setup!$E$10:$E$26, R21 + 1, 1)</f>
        <v>Physics</v>
      </c>
      <c r="X21" s="221" t="str">
        <f>INDEX(Setup!$E$10:$E$26, S21 + 1, 1)</f>
        <v>Lab Free</v>
      </c>
      <c r="Y21" s="221" t="str">
        <f>INDEX(Setup!$E$10:$E$26, T21 + 1, 1)</f>
        <v>Bible</v>
      </c>
      <c r="Z21" s="221" t="str">
        <f>INDEX(Setup!$E$10:$E$26, U21 + 1, 1)</f>
        <v>History</v>
      </c>
      <c r="AA21" s="221" t="str">
        <f>INDEX(Setup!$E$10:$E$26, V21 + 1, 1)</f>
        <v>English</v>
      </c>
      <c r="AB21" s="225" t="str">
        <f>W21&amp;CHAR(10)&amp;$X$13</f>
        <v>Physics
and Lunch</v>
      </c>
      <c r="AC21" s="225" t="str">
        <f>X21&amp;CHAR(10)&amp;$X$13</f>
        <v>Lab Free
and Lunch</v>
      </c>
      <c r="AD21" s="225" t="str">
        <f>Y21&amp;CHAR(10)&amp;$X$13</f>
        <v>Bible
and Lunch</v>
      </c>
      <c r="AE21" s="225" t="str">
        <f>Z21&amp;CHAR(10)&amp;$X$13</f>
        <v>History
and Lunch</v>
      </c>
      <c r="AF21" s="225" t="str">
        <f>AA21&amp;CHAR(10)&amp;$X$13</f>
        <v>English
and Lunch</v>
      </c>
    </row>
    <row r="22" spans="2:32">
      <c r="B22" s="58"/>
      <c r="C22" s="218" t="s">
        <v>101</v>
      </c>
      <c r="D22" s="314"/>
      <c r="E22" s="317"/>
      <c r="F22" s="300"/>
      <c r="G22" s="303"/>
      <c r="H22" s="298"/>
      <c r="I22" s="59"/>
      <c r="Q22" s="221">
        <v>4</v>
      </c>
      <c r="R22" s="222">
        <f>IF(ISERROR(MATCH(D$10, Setup!$V$10:$V$123, 0)), R32, Setup!$D$26)</f>
        <v>4</v>
      </c>
      <c r="S22" s="222">
        <f>IF(ISERROR(MATCH(E$10, Setup!$V$10:$V$123, 0)), S32, Setup!$D$26)</f>
        <v>1</v>
      </c>
      <c r="T22" s="222">
        <f>IF(ISERROR(MATCH(F$10, Setup!$V$10:$V$123, 0)), T32, Setup!$D$26)</f>
        <v>5</v>
      </c>
      <c r="U22" s="222">
        <f>IF(ISERROR(MATCH(G$10, Setup!$V$10:$V$123, 0)), U32, Setup!$D$26)</f>
        <v>2</v>
      </c>
      <c r="V22" s="222">
        <f>IF(ISERROR(MATCH(H$10, Setup!$V$10:$V$123, 0)), V32, Setup!$D$26)</f>
        <v>6</v>
      </c>
      <c r="W22" s="221" t="str">
        <f>INDEX(Setup!$E$10:$E$26, R22 + 1, 1)</f>
        <v>Bible</v>
      </c>
      <c r="X22" s="221" t="str">
        <f>INDEX(Setup!$E$10:$E$26, S22 + 1, 1)</f>
        <v>History</v>
      </c>
      <c r="Y22" s="221" t="str">
        <f>INDEX(Setup!$E$10:$E$26, T22 + 1, 1)</f>
        <v>English</v>
      </c>
      <c r="Z22" s="221" t="str">
        <f>INDEX(Setup!$E$10:$E$26, U22 + 1, 1)</f>
        <v>Math</v>
      </c>
      <c r="AA22" s="221" t="str">
        <f>INDEX(Setup!$E$10:$E$26, V22 + 1, 1)</f>
        <v>Orchestra</v>
      </c>
      <c r="AB22" s="223" t="str">
        <f>W22</f>
        <v>Bible</v>
      </c>
      <c r="AC22" s="223" t="str">
        <f>X22</f>
        <v>History</v>
      </c>
      <c r="AD22" s="223" t="str">
        <f>Y22</f>
        <v>English</v>
      </c>
      <c r="AE22" s="223" t="str">
        <f>Z22</f>
        <v>Math</v>
      </c>
      <c r="AF22" s="223" t="str">
        <f>AA22</f>
        <v>Orchestra</v>
      </c>
    </row>
    <row r="23" spans="2:32" ht="15" customHeight="1">
      <c r="B23" s="58"/>
      <c r="C23" s="210" t="s">
        <v>102</v>
      </c>
      <c r="D23" s="312" t="str">
        <f>W25</f>
        <v>Physics
and Lunch
(11:05-1:10)</v>
      </c>
      <c r="E23" s="315" t="str">
        <f>X25</f>
        <v>Lab Free
and Lunch
(11:05-1:10)</v>
      </c>
      <c r="F23" s="301"/>
      <c r="G23" s="304"/>
      <c r="H23" s="296" t="str">
        <f>AA25</f>
        <v>English
and Lunch
(11:05-1:10)</v>
      </c>
      <c r="I23" s="59"/>
      <c r="Q23" s="226"/>
      <c r="R23" s="227" t="str">
        <f>CONCATENATE("(", INDEX(Setup!$K$74:$Q$77,$Q19,R$13), ")")</f>
        <v>(8:30-9:40)</v>
      </c>
      <c r="S23" s="227" t="str">
        <f>CONCATENATE("(", INDEX(Setup!$K$74:$Q$77,$Q19,S$13), ")")</f>
        <v>(8:30-9:40)</v>
      </c>
      <c r="T23" s="227" t="str">
        <f>CONCATENATE("(", INDEX(Setup!$K$74:$Q$77,$Q19,T$13), ")")</f>
        <v>(9:00-10:10)</v>
      </c>
      <c r="U23" s="227" t="str">
        <f>CONCATENATE("(", INDEX(Setup!$K$74:$Q$77,$Q19,U$13), ")")</f>
        <v>(8:30-9:40)</v>
      </c>
      <c r="V23" s="227" t="str">
        <f>CONCATENATE("(", INDEX(Setup!$K$74:$Q$77,$Q19,V$13), ")")</f>
        <v>(8:30-9:40)</v>
      </c>
      <c r="W23" s="228" t="str">
        <f>AB19&amp;CHAR(10)&amp;R23</f>
        <v>History
(8:30-9:40)</v>
      </c>
      <c r="X23" s="228" t="str">
        <f t="shared" ref="X23:AA23" si="3">AC19&amp;CHAR(10)&amp;S23</f>
        <v>English
(8:30-9:40)</v>
      </c>
      <c r="Y23" s="228" t="str">
        <f t="shared" si="3"/>
        <v>Math
(9:00-10:10)</v>
      </c>
      <c r="Z23" s="228" t="str">
        <f t="shared" si="3"/>
        <v>Orchestra
(8:30-9:40)</v>
      </c>
      <c r="AA23" s="228" t="str">
        <f t="shared" si="3"/>
        <v>Physics
(8:30-9:40)</v>
      </c>
    </row>
    <row r="24" spans="2:32" ht="15.75" customHeight="1" thickBot="1">
      <c r="B24" s="58"/>
      <c r="C24" s="215" t="s">
        <v>103</v>
      </c>
      <c r="D24" s="313"/>
      <c r="E24" s="316"/>
      <c r="F24" s="299" t="str">
        <f>Y25</f>
        <v>Bible
and Lunch
(11:35-1:40)</v>
      </c>
      <c r="G24" s="302" t="str">
        <f>Z25</f>
        <v>History
and Lunch
(11:35-1:40)</v>
      </c>
      <c r="H24" s="297"/>
      <c r="I24" s="59"/>
      <c r="Q24" s="226"/>
      <c r="R24" s="227" t="str">
        <f>CONCATENATE("(", INDEX(Setup!$K$74:$Q$77,$Q20,R$13), ")")</f>
        <v>(9:55-11:05)</v>
      </c>
      <c r="S24" s="227" t="str">
        <f>CONCATENATE("(", INDEX(Setup!$K$74:$Q$77,$Q20,S$13), ")")</f>
        <v>(9:55-11:05)</v>
      </c>
      <c r="T24" s="227" t="str">
        <f>CONCATENATE("(", INDEX(Setup!$K$74:$Q$77,$Q20,T$13), ")")</f>
        <v>(10:25-11:35)</v>
      </c>
      <c r="U24" s="227" t="str">
        <f>CONCATENATE("(", INDEX(Setup!$K$74:$Q$77,$Q20,U$13), ")")</f>
        <v>(10:25-11:35)</v>
      </c>
      <c r="V24" s="227" t="str">
        <f>CONCATENATE("(", INDEX(Setup!$K$74:$Q$77,$Q20,V$13), ")")</f>
        <v>(9:55-11:05)</v>
      </c>
      <c r="W24" s="228" t="str">
        <f t="shared" ref="W24:W26" si="4">AB20&amp;CHAR(10)&amp;R24</f>
        <v>Math
(9:55-11:05)</v>
      </c>
      <c r="X24" s="228" t="str">
        <f t="shared" ref="X24:X26" si="5">AC20&amp;CHAR(10)&amp;S24</f>
        <v>Orchestra
(9:55-11:05)</v>
      </c>
      <c r="Y24" s="228" t="str">
        <f t="shared" ref="Y24:Y26" si="6">AD20&amp;CHAR(10)&amp;T24</f>
        <v>Physics
(10:25-11:35)</v>
      </c>
      <c r="Z24" s="228" t="str">
        <f t="shared" ref="Z24:Z26" si="7">AE20&amp;CHAR(10)&amp;U24</f>
        <v>Physics
(10:25-11:35)</v>
      </c>
      <c r="AA24" s="228" t="str">
        <f t="shared" ref="AA24:AA26" si="8">AF20&amp;CHAR(10)&amp;V24</f>
        <v>Bible
(9:55-11:05)</v>
      </c>
    </row>
    <row r="25" spans="2:32" ht="15.75" thickBot="1">
      <c r="B25" s="58"/>
      <c r="C25" s="229" t="s">
        <v>104</v>
      </c>
      <c r="D25" s="313"/>
      <c r="E25" s="316"/>
      <c r="F25" s="300"/>
      <c r="G25" s="303"/>
      <c r="H25" s="297"/>
      <c r="I25" s="59"/>
      <c r="Q25" s="226"/>
      <c r="R25" s="227" t="str">
        <f>CONCATENATE("(", INDEX(Setup!$K$74:$Q$77,$Q21,R$13), ")")</f>
        <v>(11:05-1:10)</v>
      </c>
      <c r="S25" s="227" t="str">
        <f>CONCATENATE("(", INDEX(Setup!$K$74:$Q$77,$Q21,S$13), ")")</f>
        <v>(11:05-1:10)</v>
      </c>
      <c r="T25" s="227" t="str">
        <f>CONCATENATE("(", INDEX(Setup!$K$74:$Q$77,$Q21,T$13), ")")</f>
        <v>(11:35-1:40)</v>
      </c>
      <c r="U25" s="227" t="str">
        <f>CONCATENATE("(", INDEX(Setup!$K$74:$Q$77,$Q21,U$13), ")")</f>
        <v>(11:35-1:40)</v>
      </c>
      <c r="V25" s="227" t="str">
        <f>CONCATENATE("(", INDEX(Setup!$K$74:$Q$77,$Q21,V$13), ")")</f>
        <v>(11:05-1:10)</v>
      </c>
      <c r="W25" s="228" t="str">
        <f t="shared" si="4"/>
        <v>Physics
and Lunch
(11:05-1:10)</v>
      </c>
      <c r="X25" s="228" t="str">
        <f t="shared" si="5"/>
        <v>Lab Free
and Lunch
(11:05-1:10)</v>
      </c>
      <c r="Y25" s="228" t="str">
        <f t="shared" si="6"/>
        <v>Bible
and Lunch
(11:35-1:40)</v>
      </c>
      <c r="Z25" s="228" t="str">
        <f t="shared" si="7"/>
        <v>History
and Lunch
(11:35-1:40)</v>
      </c>
      <c r="AA25" s="228" t="str">
        <f t="shared" si="8"/>
        <v>English
and Lunch
(11:05-1:10)</v>
      </c>
    </row>
    <row r="26" spans="2:32">
      <c r="B26" s="58"/>
      <c r="C26" s="218" t="s">
        <v>105</v>
      </c>
      <c r="D26" s="314"/>
      <c r="E26" s="317"/>
      <c r="F26" s="300"/>
      <c r="G26" s="303"/>
      <c r="H26" s="298"/>
      <c r="I26" s="59"/>
      <c r="Q26" s="226"/>
      <c r="R26" s="227" t="str">
        <f>CONCATENATE("(", INDEX(Setup!$K$74:$Q$77,$Q22,R$13), ")")</f>
        <v>(1:50-3:00)</v>
      </c>
      <c r="S26" s="227" t="str">
        <f>CONCATENATE("(", INDEX(Setup!$K$74:$Q$77,$Q22,S$13), ")")</f>
        <v>(1:50-3:00)</v>
      </c>
      <c r="T26" s="227" t="str">
        <f>CONCATENATE("(", INDEX(Setup!$K$74:$Q$77,$Q22,T$13), ")")</f>
        <v>(1:50-3:00)</v>
      </c>
      <c r="U26" s="227" t="str">
        <f>CONCATENATE("(", INDEX(Setup!$K$74:$Q$77,$Q22,U$13), ")")</f>
        <v>(1:50-3:00)</v>
      </c>
      <c r="V26" s="227" t="str">
        <f>CONCATENATE("(", INDEX(Setup!$K$74:$Q$77,$Q22,V$13), ")")</f>
        <v>(1:20-2:30)</v>
      </c>
      <c r="W26" s="228" t="str">
        <f t="shared" si="4"/>
        <v>Bible
(1:50-3:00)</v>
      </c>
      <c r="X26" s="228" t="str">
        <f t="shared" si="5"/>
        <v>History
(1:50-3:00)</v>
      </c>
      <c r="Y26" s="228" t="str">
        <f t="shared" si="6"/>
        <v>English
(1:50-3:00)</v>
      </c>
      <c r="Z26" s="228" t="str">
        <f t="shared" si="7"/>
        <v>Math
(1:50-3:00)</v>
      </c>
      <c r="AA26" s="228" t="str">
        <f t="shared" si="8"/>
        <v>Orchestra
(1:20-2:30)</v>
      </c>
    </row>
    <row r="27" spans="2:32" ht="15" customHeight="1">
      <c r="B27" s="58"/>
      <c r="C27" s="210" t="s">
        <v>106</v>
      </c>
      <c r="D27" s="305" t="s">
        <v>107</v>
      </c>
      <c r="E27" s="308" t="s">
        <v>108</v>
      </c>
      <c r="F27" s="300"/>
      <c r="G27" s="303"/>
      <c r="H27" s="217" t="s">
        <v>10</v>
      </c>
      <c r="I27" s="59"/>
    </row>
    <row r="28" spans="2:32" ht="15" customHeight="1">
      <c r="B28" s="58"/>
      <c r="C28" s="210" t="s">
        <v>109</v>
      </c>
      <c r="D28" s="306"/>
      <c r="E28" s="309"/>
      <c r="F28" s="301"/>
      <c r="G28" s="304"/>
      <c r="H28" s="296" t="str">
        <f>AA26</f>
        <v>Orchestra
(1:20-2:30)</v>
      </c>
      <c r="I28" s="59"/>
    </row>
    <row r="29" spans="2:32">
      <c r="B29" s="58"/>
      <c r="C29" s="210" t="s">
        <v>110</v>
      </c>
      <c r="D29" s="307"/>
      <c r="E29" s="310"/>
      <c r="F29" s="224" t="s">
        <v>10</v>
      </c>
      <c r="G29" s="230" t="s">
        <v>10</v>
      </c>
      <c r="H29" s="297"/>
      <c r="I29" s="59"/>
      <c r="Q29" s="221">
        <v>1</v>
      </c>
      <c r="R29" s="222">
        <f>INDEX(Setup!$K$88:$Q$91, $Q29, Weekly!R$16)</f>
        <v>1</v>
      </c>
      <c r="S29" s="222">
        <f>INDEX(Setup!$K$88:$Q$91, $Q29, Weekly!S$16)</f>
        <v>5</v>
      </c>
      <c r="T29" s="222">
        <f>INDEX(Setup!$K$88:$Q$91, $Q29, Weekly!T$16)</f>
        <v>2</v>
      </c>
      <c r="U29" s="222">
        <f>INDEX(Setup!$K$88:$Q$91, $Q29, Weekly!U$16)</f>
        <v>6</v>
      </c>
      <c r="V29" s="222">
        <f>INDEX(Setup!$K$88:$Q$91, $Q29, Weekly!V$16)</f>
        <v>3</v>
      </c>
    </row>
    <row r="30" spans="2:32" ht="15.75" customHeight="1" thickBot="1">
      <c r="B30" s="58"/>
      <c r="C30" s="215" t="s">
        <v>111</v>
      </c>
      <c r="D30" s="312" t="str">
        <f>W26</f>
        <v>Bible
(1:50-3:00)</v>
      </c>
      <c r="E30" s="315" t="str">
        <f>X26</f>
        <v>History
(1:50-3:00)</v>
      </c>
      <c r="F30" s="318" t="str">
        <f>Y26</f>
        <v>English
(1:50-3:00)</v>
      </c>
      <c r="G30" s="321" t="str">
        <f>Z26</f>
        <v>Math
(1:50-3:00)</v>
      </c>
      <c r="H30" s="297"/>
      <c r="I30" s="59"/>
      <c r="Q30" s="221">
        <v>2</v>
      </c>
      <c r="R30" s="222">
        <f>INDEX(Setup!$K$88:$Q$91, $Q30, Weekly!R$16)</f>
        <v>2</v>
      </c>
      <c r="S30" s="222">
        <f>INDEX(Setup!$K$88:$Q$91, $Q30, Weekly!S$16)</f>
        <v>6</v>
      </c>
      <c r="T30" s="222">
        <f>INDEX(Setup!$K$88:$Q$91, $Q30, Weekly!T$16)</f>
        <v>3</v>
      </c>
      <c r="U30" s="222">
        <f>INDEX(Setup!$K$88:$Q$91, $Q30, Weekly!U$16)</f>
        <v>7</v>
      </c>
      <c r="V30" s="222">
        <f>INDEX(Setup!$K$88:$Q$91, $Q30, Weekly!V$16)</f>
        <v>4</v>
      </c>
    </row>
    <row r="31" spans="2:32" ht="15.75" thickBot="1">
      <c r="B31" s="58"/>
      <c r="C31" s="218" t="s">
        <v>112</v>
      </c>
      <c r="D31" s="313"/>
      <c r="E31" s="316"/>
      <c r="F31" s="319"/>
      <c r="G31" s="321"/>
      <c r="H31" s="311"/>
      <c r="I31" s="59"/>
      <c r="Q31" s="221">
        <v>3</v>
      </c>
      <c r="R31" s="222">
        <f>INDEX(Setup!$K$88:$Q$91, $Q31, Weekly!R$16)</f>
        <v>3</v>
      </c>
      <c r="S31" s="222">
        <f>INDEX(Setup!$K$88:$Q$91, $Q31, Weekly!S$16)</f>
        <v>8</v>
      </c>
      <c r="T31" s="222">
        <f>INDEX(Setup!$K$88:$Q$91, $Q31, Weekly!T$16)</f>
        <v>4</v>
      </c>
      <c r="U31" s="222">
        <f>INDEX(Setup!$K$88:$Q$91, $Q31, Weekly!U$16)</f>
        <v>1</v>
      </c>
      <c r="V31" s="222">
        <f>INDEX(Setup!$K$88:$Q$91, $Q31, Weekly!V$16)</f>
        <v>5</v>
      </c>
    </row>
    <row r="32" spans="2:32" ht="15.75" thickBot="1">
      <c r="B32" s="58"/>
      <c r="C32" s="215" t="s">
        <v>113</v>
      </c>
      <c r="D32" s="314"/>
      <c r="E32" s="317"/>
      <c r="F32" s="320"/>
      <c r="G32" s="322"/>
      <c r="H32" s="231"/>
      <c r="I32" s="59"/>
      <c r="Q32" s="221">
        <v>4</v>
      </c>
      <c r="R32" s="222">
        <f>INDEX(Setup!$K$88:$Q$91, $Q32, Weekly!R$16)</f>
        <v>4</v>
      </c>
      <c r="S32" s="222">
        <f>INDEX(Setup!$K$88:$Q$91, $Q32, Weekly!S$16)</f>
        <v>1</v>
      </c>
      <c r="T32" s="222">
        <f>INDEX(Setup!$K$88:$Q$91, $Q32, Weekly!T$16)</f>
        <v>5</v>
      </c>
      <c r="U32" s="222">
        <f>INDEX(Setup!$K$88:$Q$91, $Q32, Weekly!U$16)</f>
        <v>2</v>
      </c>
      <c r="V32" s="222">
        <f>INDEX(Setup!$K$88:$Q$91, $Q32, Weekly!V$16)</f>
        <v>6</v>
      </c>
    </row>
    <row r="33" spans="2:9" ht="51" customHeight="1" thickBot="1">
      <c r="B33" s="58"/>
      <c r="C33" s="232" t="s">
        <v>114</v>
      </c>
      <c r="D33" s="233" t="s">
        <v>115</v>
      </c>
      <c r="E33" s="233" t="s">
        <v>115</v>
      </c>
      <c r="F33" s="234" t="s">
        <v>115</v>
      </c>
      <c r="G33" s="235" t="s">
        <v>115</v>
      </c>
      <c r="H33" s="236"/>
      <c r="I33" s="59"/>
    </row>
    <row r="34" spans="2:9" ht="15" customHeight="1">
      <c r="B34" s="58"/>
      <c r="C34" s="237"/>
      <c r="D34" s="238"/>
      <c r="E34" s="238"/>
      <c r="F34" s="238"/>
      <c r="G34" s="238"/>
      <c r="H34" s="236"/>
      <c r="I34" s="59"/>
    </row>
    <row r="35" spans="2:9" ht="15.75" thickBot="1">
      <c r="B35" s="64"/>
      <c r="C35" s="28"/>
      <c r="D35" s="28"/>
      <c r="E35" s="28"/>
      <c r="F35" s="28"/>
      <c r="G35" s="28"/>
      <c r="H35" s="28"/>
      <c r="I35" s="65"/>
    </row>
  </sheetData>
  <sheetProtection password="C836" sheet="1" objects="1" scenarios="1"/>
  <mergeCells count="31">
    <mergeCell ref="C9:H9"/>
    <mergeCell ref="G4:H4"/>
    <mergeCell ref="C5:F7"/>
    <mergeCell ref="C4:F4"/>
    <mergeCell ref="E13:E14"/>
    <mergeCell ref="F13:F15"/>
    <mergeCell ref="G13:G14"/>
    <mergeCell ref="D15:D16"/>
    <mergeCell ref="E15:E16"/>
    <mergeCell ref="G15:G16"/>
    <mergeCell ref="H18:H22"/>
    <mergeCell ref="F21:F23"/>
    <mergeCell ref="G21:G23"/>
    <mergeCell ref="D23:D26"/>
    <mergeCell ref="E23:E26"/>
    <mergeCell ref="B2:I2"/>
    <mergeCell ref="H23:H26"/>
    <mergeCell ref="F24:F28"/>
    <mergeCell ref="G24:G28"/>
    <mergeCell ref="D27:D29"/>
    <mergeCell ref="E27:E29"/>
    <mergeCell ref="H28:H31"/>
    <mergeCell ref="D30:D32"/>
    <mergeCell ref="E30:E32"/>
    <mergeCell ref="F30:F32"/>
    <mergeCell ref="G30:G32"/>
    <mergeCell ref="H15:H16"/>
    <mergeCell ref="F16:F19"/>
    <mergeCell ref="G17:G20"/>
    <mergeCell ref="D18:D22"/>
    <mergeCell ref="E18:E2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D2" sqref="D2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9" t="s">
        <v>63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42" t="s">
        <v>61</v>
      </c>
      <c r="F6" s="342"/>
      <c r="G6" s="342"/>
      <c r="H6" s="342"/>
      <c r="I6" s="342"/>
      <c r="J6" s="342"/>
      <c r="K6" s="342"/>
      <c r="L6" s="83"/>
      <c r="M6" s="59"/>
    </row>
    <row r="7" spans="3:13" ht="15" customHeight="1">
      <c r="C7" s="58"/>
      <c r="D7" s="82"/>
      <c r="E7" s="252" t="s">
        <v>67</v>
      </c>
      <c r="F7" s="343"/>
      <c r="G7" s="343"/>
      <c r="H7" s="343"/>
      <c r="I7" s="343"/>
      <c r="J7" s="343"/>
      <c r="K7" s="343"/>
      <c r="L7" s="83"/>
      <c r="M7" s="59"/>
    </row>
    <row r="8" spans="3:13" ht="15" customHeight="1">
      <c r="C8" s="58"/>
      <c r="D8" s="82"/>
      <c r="E8" s="343"/>
      <c r="F8" s="343"/>
      <c r="G8" s="343"/>
      <c r="H8" s="343"/>
      <c r="I8" s="343"/>
      <c r="J8" s="343"/>
      <c r="K8" s="343"/>
      <c r="L8" s="83"/>
      <c r="M8" s="59"/>
    </row>
    <row r="9" spans="3:13" ht="15" customHeight="1">
      <c r="C9" s="58"/>
      <c r="D9" s="82"/>
      <c r="E9" s="343"/>
      <c r="F9" s="343"/>
      <c r="G9" s="343"/>
      <c r="H9" s="343"/>
      <c r="I9" s="343"/>
      <c r="J9" s="343"/>
      <c r="K9" s="343"/>
      <c r="L9" s="83"/>
      <c r="M9" s="59"/>
    </row>
    <row r="10" spans="3:13" ht="15" customHeight="1">
      <c r="C10" s="58"/>
      <c r="D10" s="82"/>
      <c r="E10" s="343"/>
      <c r="F10" s="343"/>
      <c r="G10" s="343"/>
      <c r="H10" s="343"/>
      <c r="I10" s="343"/>
      <c r="J10" s="343"/>
      <c r="K10" s="343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42" t="s">
        <v>65</v>
      </c>
      <c r="F14" s="342"/>
      <c r="G14" s="342"/>
      <c r="H14" s="342"/>
      <c r="I14" s="342"/>
      <c r="J14" s="342"/>
      <c r="K14" s="342"/>
      <c r="L14" s="83"/>
      <c r="M14" s="59"/>
    </row>
    <row r="15" spans="3:13" ht="15" customHeight="1">
      <c r="C15" s="58"/>
      <c r="D15" s="82"/>
      <c r="E15" s="345" t="s">
        <v>68</v>
      </c>
      <c r="F15" s="345"/>
      <c r="G15" s="345"/>
      <c r="H15" s="345"/>
      <c r="I15" s="345"/>
      <c r="J15" s="345"/>
      <c r="K15" s="345"/>
      <c r="L15" s="83"/>
      <c r="M15" s="59"/>
    </row>
    <row r="16" spans="3:13" ht="15" customHeight="1">
      <c r="C16" s="58"/>
      <c r="D16" s="82"/>
      <c r="E16" s="345"/>
      <c r="F16" s="345"/>
      <c r="G16" s="345"/>
      <c r="H16" s="345"/>
      <c r="I16" s="345"/>
      <c r="J16" s="345"/>
      <c r="K16" s="345"/>
      <c r="L16" s="83"/>
      <c r="M16" s="59"/>
    </row>
    <row r="17" spans="3:13" ht="15" customHeight="1">
      <c r="C17" s="58"/>
      <c r="D17" s="82"/>
      <c r="E17" s="345"/>
      <c r="F17" s="345"/>
      <c r="G17" s="345"/>
      <c r="H17" s="345"/>
      <c r="I17" s="345"/>
      <c r="J17" s="345"/>
      <c r="K17" s="345"/>
      <c r="L17" s="83"/>
      <c r="M17" s="59"/>
    </row>
    <row r="18" spans="3:13" ht="15" customHeight="1">
      <c r="C18" s="58"/>
      <c r="D18" s="82"/>
      <c r="E18" s="345"/>
      <c r="F18" s="345"/>
      <c r="G18" s="345"/>
      <c r="H18" s="345"/>
      <c r="I18" s="345"/>
      <c r="J18" s="345"/>
      <c r="K18" s="345"/>
      <c r="L18" s="83"/>
      <c r="M18" s="59"/>
    </row>
    <row r="19" spans="3:13" ht="15.75" customHeight="1">
      <c r="C19" s="58"/>
      <c r="D19" s="82"/>
      <c r="E19" s="345"/>
      <c r="F19" s="345"/>
      <c r="G19" s="345"/>
      <c r="H19" s="345"/>
      <c r="I19" s="345"/>
      <c r="J19" s="345"/>
      <c r="K19" s="345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42" t="s">
        <v>62</v>
      </c>
      <c r="F23" s="342"/>
      <c r="G23" s="342"/>
      <c r="H23" s="342"/>
      <c r="I23" s="342"/>
      <c r="J23" s="342"/>
      <c r="K23" s="342"/>
      <c r="L23" s="83"/>
      <c r="M23" s="59"/>
    </row>
    <row r="24" spans="3:13">
      <c r="C24" s="58"/>
      <c r="D24" s="82"/>
      <c r="E24" s="252" t="s">
        <v>76</v>
      </c>
      <c r="F24" s="343"/>
      <c r="G24" s="343"/>
      <c r="H24" s="343"/>
      <c r="I24" s="343"/>
      <c r="J24" s="343"/>
      <c r="K24" s="343"/>
      <c r="L24" s="83"/>
      <c r="M24" s="59"/>
    </row>
    <row r="25" spans="3:13">
      <c r="C25" s="58"/>
      <c r="D25" s="82"/>
      <c r="E25" s="343"/>
      <c r="F25" s="343"/>
      <c r="G25" s="343"/>
      <c r="H25" s="343"/>
      <c r="I25" s="343"/>
      <c r="J25" s="343"/>
      <c r="K25" s="343"/>
      <c r="L25" s="83"/>
      <c r="M25" s="59"/>
    </row>
    <row r="26" spans="3:13">
      <c r="C26" s="58"/>
      <c r="D26" s="82"/>
      <c r="E26" s="343"/>
      <c r="F26" s="343"/>
      <c r="G26" s="343"/>
      <c r="H26" s="343"/>
      <c r="I26" s="343"/>
      <c r="J26" s="343"/>
      <c r="K26" s="343"/>
      <c r="L26" s="83"/>
      <c r="M26" s="59"/>
    </row>
    <row r="27" spans="3:13">
      <c r="C27" s="58"/>
      <c r="D27" s="82"/>
      <c r="E27" s="343"/>
      <c r="F27" s="343"/>
      <c r="G27" s="343"/>
      <c r="H27" s="343"/>
      <c r="I27" s="343"/>
      <c r="J27" s="343"/>
      <c r="K27" s="343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42" t="s">
        <v>69</v>
      </c>
      <c r="F31" s="342"/>
      <c r="G31" s="342"/>
      <c r="H31" s="342"/>
      <c r="I31" s="342"/>
      <c r="J31" s="342"/>
      <c r="K31" s="342"/>
      <c r="L31" s="83"/>
      <c r="M31" s="59"/>
    </row>
    <row r="32" spans="3:13" ht="15" customHeight="1">
      <c r="C32" s="58"/>
      <c r="D32" s="82"/>
      <c r="E32" s="252" t="s">
        <v>70</v>
      </c>
      <c r="F32" s="252"/>
      <c r="G32" s="252"/>
      <c r="H32" s="252"/>
      <c r="I32" s="252"/>
      <c r="J32" s="252"/>
      <c r="K32" s="252"/>
      <c r="L32" s="93"/>
      <c r="M32" s="59"/>
    </row>
    <row r="33" spans="3:13" ht="15" customHeight="1">
      <c r="C33" s="58"/>
      <c r="D33" s="82"/>
      <c r="E33" s="252"/>
      <c r="F33" s="252"/>
      <c r="G33" s="252"/>
      <c r="H33" s="252"/>
      <c r="I33" s="252"/>
      <c r="J33" s="252"/>
      <c r="K33" s="252"/>
      <c r="L33" s="93"/>
      <c r="M33" s="59"/>
    </row>
    <row r="34" spans="3:13" ht="15" customHeight="1">
      <c r="C34" s="58"/>
      <c r="D34" s="82"/>
      <c r="E34" s="252"/>
      <c r="F34" s="252"/>
      <c r="G34" s="252"/>
      <c r="H34" s="252"/>
      <c r="I34" s="252"/>
      <c r="J34" s="252"/>
      <c r="K34" s="252"/>
      <c r="L34" s="93"/>
      <c r="M34" s="59"/>
    </row>
    <row r="35" spans="3:13" ht="15" customHeight="1">
      <c r="C35" s="58"/>
      <c r="D35" s="82"/>
      <c r="E35" s="252"/>
      <c r="F35" s="252"/>
      <c r="G35" s="252"/>
      <c r="H35" s="252"/>
      <c r="I35" s="252"/>
      <c r="J35" s="252"/>
      <c r="K35" s="252"/>
      <c r="L35" s="93"/>
      <c r="M35" s="59"/>
    </row>
    <row r="36" spans="3:13" ht="15.75" customHeight="1">
      <c r="C36" s="58"/>
      <c r="D36" s="82"/>
      <c r="E36" s="252"/>
      <c r="F36" s="252"/>
      <c r="G36" s="252"/>
      <c r="H36" s="252"/>
      <c r="I36" s="252"/>
      <c r="J36" s="252"/>
      <c r="K36" s="252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42" t="s">
        <v>64</v>
      </c>
      <c r="F40" s="342"/>
      <c r="G40" s="342"/>
      <c r="H40" s="342"/>
      <c r="I40" s="342"/>
      <c r="J40" s="342"/>
      <c r="K40" s="342"/>
      <c r="L40" s="83"/>
      <c r="M40" s="59"/>
    </row>
    <row r="41" spans="3:13">
      <c r="C41" s="58"/>
      <c r="D41" s="82"/>
      <c r="E41" s="344" t="s">
        <v>66</v>
      </c>
      <c r="F41" s="344"/>
      <c r="G41" s="344"/>
      <c r="H41" s="344"/>
      <c r="I41" s="344"/>
      <c r="J41" s="344"/>
      <c r="K41" s="344"/>
      <c r="L41" s="83"/>
      <c r="M41" s="59"/>
    </row>
    <row r="42" spans="3:13">
      <c r="C42" s="58"/>
      <c r="D42" s="82"/>
      <c r="E42" s="344"/>
      <c r="F42" s="344"/>
      <c r="G42" s="344"/>
      <c r="H42" s="344"/>
      <c r="I42" s="344"/>
      <c r="J42" s="344"/>
      <c r="K42" s="344"/>
      <c r="L42" s="83"/>
      <c r="M42" s="59"/>
    </row>
    <row r="43" spans="3:13">
      <c r="C43" s="58"/>
      <c r="D43" s="82"/>
      <c r="E43" s="344"/>
      <c r="F43" s="344"/>
      <c r="G43" s="344"/>
      <c r="H43" s="344"/>
      <c r="I43" s="344"/>
      <c r="J43" s="344"/>
      <c r="K43" s="344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A22"/>
  <sheetViews>
    <sheetView tabSelected="1" topLeftCell="A9" workbookViewId="0">
      <selection activeCell="A18" sqref="A18"/>
    </sheetView>
  </sheetViews>
  <sheetFormatPr defaultRowHeight="15"/>
  <cols>
    <col min="1" max="1" width="9.140625" style="348"/>
  </cols>
  <sheetData>
    <row r="1" spans="1:1">
      <c r="A1" s="346">
        <v>0.32291666666666669</v>
      </c>
    </row>
    <row r="2" spans="1:1" ht="30" customHeight="1">
      <c r="A2" s="346">
        <v>0.33333333333333331</v>
      </c>
    </row>
    <row r="3" spans="1:1" ht="30" customHeight="1">
      <c r="A3" s="346">
        <v>0.35416666666666669</v>
      </c>
    </row>
    <row r="4" spans="1:1" ht="39.950000000000003" customHeight="1">
      <c r="A4" s="346">
        <v>0.375</v>
      </c>
    </row>
    <row r="5" spans="1:1">
      <c r="A5" s="346">
        <v>0.40277777777777773</v>
      </c>
    </row>
    <row r="6" spans="1:1">
      <c r="A6" s="347" t="s">
        <v>97</v>
      </c>
    </row>
    <row r="7" spans="1:1" ht="5.0999999999999996" customHeight="1">
      <c r="A7" s="347" t="s">
        <v>98</v>
      </c>
    </row>
    <row r="8" spans="1:1">
      <c r="A8" s="347" t="s">
        <v>99</v>
      </c>
    </row>
    <row r="9" spans="1:1" ht="35.1" customHeight="1">
      <c r="A9" s="347" t="s">
        <v>100</v>
      </c>
    </row>
    <row r="10" spans="1:1" ht="5.0999999999999996" customHeight="1">
      <c r="A10" s="347" t="s">
        <v>101</v>
      </c>
    </row>
    <row r="11" spans="1:1" ht="20.100000000000001" customHeight="1">
      <c r="A11" s="347" t="s">
        <v>102</v>
      </c>
    </row>
    <row r="12" spans="1:1">
      <c r="A12" s="347" t="s">
        <v>103</v>
      </c>
    </row>
    <row r="13" spans="1:1" ht="60" customHeight="1">
      <c r="A13" s="347" t="s">
        <v>104</v>
      </c>
    </row>
    <row r="14" spans="1:1" ht="9.9499999999999993" customHeight="1">
      <c r="A14" s="347" t="s">
        <v>105</v>
      </c>
    </row>
    <row r="15" spans="1:1" ht="9.9499999999999993" customHeight="1">
      <c r="A15" s="347" t="s">
        <v>106</v>
      </c>
    </row>
    <row r="16" spans="1:1" ht="20.100000000000001" customHeight="1">
      <c r="A16" s="347" t="s">
        <v>109</v>
      </c>
    </row>
    <row r="17" spans="1:1" ht="9.9499999999999993" customHeight="1">
      <c r="A17" s="347" t="s">
        <v>110</v>
      </c>
    </row>
    <row r="18" spans="1:1" ht="9.9499999999999993" customHeight="1">
      <c r="A18" s="347" t="s">
        <v>111</v>
      </c>
    </row>
    <row r="19" spans="1:1" ht="30" customHeight="1">
      <c r="A19" s="347" t="s">
        <v>112</v>
      </c>
    </row>
    <row r="20" spans="1:1" ht="30" customHeight="1">
      <c r="A20" s="347" t="s">
        <v>113</v>
      </c>
    </row>
    <row r="21" spans="1:1" ht="30" customHeight="1">
      <c r="A21" s="347" t="s">
        <v>126</v>
      </c>
    </row>
    <row r="22" spans="1:1">
      <c r="A22" s="346">
        <v>0.14583333333333334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Setup</vt:lpstr>
      <vt:lpstr>Schedule</vt:lpstr>
      <vt:lpstr>Weekly</vt:lpstr>
      <vt:lpstr>Help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2013-09-02T07:00:48Z</dcterms:modified>
</cp:coreProperties>
</file>