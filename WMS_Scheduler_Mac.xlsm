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2202" codeName="{B7FE6334-C1A2-E50D-BD3D-5F4D41BBC2E3}"/>
  <workbookPr codeName="ThisWorkbook" autoCompressPictures="0"/>
  <bookViews>
    <workbookView xWindow="0" yWindow="-440" windowWidth="28800" windowHeight="18000"/>
  </bookViews>
  <sheets>
    <sheet name="Main" sheetId="1" r:id="rId1"/>
    <sheet name="Setup" sheetId="2" r:id="rId2"/>
    <sheet name="Schedule" sheetId="3" r:id="rId3"/>
    <sheet name="Weekly" sheetId="5" r:id="rId4"/>
    <sheet name="Help" sheetId="4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20" i="5" l="1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W21" i="5"/>
  <c r="W22" i="5"/>
  <c r="W23" i="5"/>
  <c r="W20" i="5"/>
  <c r="Q7" i="5"/>
  <c r="D7" i="5"/>
  <c r="T2" i="5"/>
  <c r="D27" i="3"/>
  <c r="I9" i="3"/>
  <c r="H9" i="3"/>
  <c r="R10" i="5"/>
  <c r="D8" i="5"/>
  <c r="D29" i="3"/>
  <c r="J9" i="3"/>
  <c r="J22" i="2"/>
  <c r="J23" i="2"/>
  <c r="J24" i="2"/>
  <c r="J25" i="2"/>
  <c r="J26" i="2"/>
  <c r="J27" i="2"/>
  <c r="L88" i="2"/>
  <c r="M88" i="2"/>
  <c r="N88" i="2"/>
  <c r="O88" i="2"/>
  <c r="P88" i="2"/>
  <c r="Q88" i="2"/>
  <c r="L89" i="2"/>
  <c r="M89" i="2"/>
  <c r="N89" i="2"/>
  <c r="O89" i="2"/>
  <c r="P89" i="2"/>
  <c r="Q89" i="2"/>
  <c r="L90" i="2"/>
  <c r="M90" i="2"/>
  <c r="N90" i="2"/>
  <c r="O90" i="2"/>
  <c r="P90" i="2"/>
  <c r="Q90" i="2"/>
  <c r="L91" i="2"/>
  <c r="M91" i="2"/>
  <c r="N91" i="2"/>
  <c r="O91" i="2"/>
  <c r="P91" i="2"/>
  <c r="Q91" i="2"/>
  <c r="K89" i="2"/>
  <c r="K90" i="2"/>
  <c r="K91" i="2"/>
  <c r="K88" i="2"/>
  <c r="J11" i="2"/>
  <c r="J12" i="2"/>
  <c r="J13" i="2"/>
  <c r="J14" i="2"/>
  <c r="J15" i="2"/>
  <c r="J16" i="2"/>
  <c r="E7" i="5"/>
  <c r="R21" i="5"/>
  <c r="R22" i="5"/>
  <c r="R23" i="5"/>
  <c r="R20" i="5"/>
  <c r="K27" i="3"/>
  <c r="R11" i="5"/>
  <c r="R13" i="5"/>
  <c r="S11" i="5"/>
  <c r="S13" i="5"/>
  <c r="K9" i="3"/>
  <c r="R29" i="5"/>
  <c r="R19" i="5"/>
  <c r="W19" i="5"/>
  <c r="AB19" i="5"/>
  <c r="D27" i="5"/>
  <c r="R27" i="5"/>
  <c r="R17" i="5"/>
  <c r="W17" i="5"/>
  <c r="AB17" i="5"/>
  <c r="D15" i="5"/>
  <c r="R28" i="5"/>
  <c r="R18" i="5"/>
  <c r="W18" i="5"/>
  <c r="AB18" i="5"/>
  <c r="D20" i="5"/>
  <c r="R26" i="5"/>
  <c r="R16" i="5"/>
  <c r="W16" i="5"/>
  <c r="AB16" i="5"/>
  <c r="D12" i="5"/>
  <c r="S28" i="5"/>
  <c r="S18" i="5"/>
  <c r="X18" i="5"/>
  <c r="AC18" i="5"/>
  <c r="S26" i="5"/>
  <c r="S16" i="5"/>
  <c r="X16" i="5"/>
  <c r="AC16" i="5"/>
  <c r="S27" i="5"/>
  <c r="S17" i="5"/>
  <c r="X17" i="5"/>
  <c r="AC17" i="5"/>
  <c r="S29" i="5"/>
  <c r="S19" i="5"/>
  <c r="X19" i="5"/>
  <c r="AC19" i="5"/>
  <c r="E9" i="5"/>
  <c r="D9" i="5"/>
  <c r="F7" i="5"/>
  <c r="S10" i="5"/>
  <c r="I31" i="3"/>
  <c r="J31" i="3"/>
  <c r="J40" i="3"/>
  <c r="I26" i="3"/>
  <c r="I28" i="3"/>
  <c r="J28" i="3"/>
  <c r="I33" i="3"/>
  <c r="J33" i="3"/>
  <c r="I32" i="3"/>
  <c r="J32" i="3"/>
  <c r="J41" i="3"/>
  <c r="I29" i="3"/>
  <c r="J29" i="3"/>
  <c r="J38" i="3"/>
  <c r="I30" i="3"/>
  <c r="J30" i="3"/>
  <c r="I27" i="3"/>
  <c r="J27" i="3"/>
  <c r="J36" i="3"/>
  <c r="K32" i="3"/>
  <c r="K26" i="3"/>
  <c r="K31" i="3"/>
  <c r="K28" i="3"/>
  <c r="K29" i="3"/>
  <c r="K33" i="3"/>
  <c r="K30" i="3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J26" i="3"/>
  <c r="J35" i="3"/>
  <c r="T11" i="5"/>
  <c r="T13" i="5"/>
  <c r="S20" i="5"/>
  <c r="E12" i="5"/>
  <c r="S21" i="5"/>
  <c r="E15" i="5"/>
  <c r="S22" i="5"/>
  <c r="E20" i="5"/>
  <c r="S23" i="5"/>
  <c r="E27" i="5"/>
  <c r="E8" i="5"/>
  <c r="G7" i="5"/>
  <c r="T10" i="5"/>
  <c r="I16" i="3"/>
  <c r="J16" i="3"/>
  <c r="K16" i="3"/>
  <c r="I17" i="3"/>
  <c r="J17" i="3"/>
  <c r="K17" i="3"/>
  <c r="I14" i="3"/>
  <c r="J14" i="3"/>
  <c r="K14" i="3"/>
  <c r="J39" i="3"/>
  <c r="J37" i="3"/>
  <c r="K12" i="3"/>
  <c r="J42" i="3"/>
  <c r="K11" i="3"/>
  <c r="I11" i="3"/>
  <c r="J11" i="3"/>
  <c r="U11" i="5"/>
  <c r="U13" i="5"/>
  <c r="T27" i="5"/>
  <c r="T17" i="5"/>
  <c r="Y17" i="5"/>
  <c r="AD17" i="5"/>
  <c r="T29" i="5"/>
  <c r="T19" i="5"/>
  <c r="Y19" i="5"/>
  <c r="AD19" i="5"/>
  <c r="T26" i="5"/>
  <c r="T16" i="5"/>
  <c r="Y16" i="5"/>
  <c r="AD16" i="5"/>
  <c r="T28" i="5"/>
  <c r="T18" i="5"/>
  <c r="Y18" i="5"/>
  <c r="AD18" i="5"/>
  <c r="F9" i="5"/>
  <c r="T20" i="5"/>
  <c r="T21" i="5"/>
  <c r="T22" i="5"/>
  <c r="T23" i="5"/>
  <c r="F8" i="5"/>
  <c r="H7" i="5"/>
  <c r="U2" i="5"/>
  <c r="U10" i="5"/>
  <c r="I18" i="3"/>
  <c r="J18" i="3"/>
  <c r="K18" i="3"/>
  <c r="I15" i="3"/>
  <c r="J15" i="3"/>
  <c r="K15" i="3"/>
  <c r="I13" i="3"/>
  <c r="J13" i="3"/>
  <c r="K13" i="3"/>
  <c r="I12" i="3"/>
  <c r="J12" i="3"/>
  <c r="F18" i="5"/>
  <c r="F21" i="5"/>
  <c r="F27" i="5"/>
  <c r="B2" i="5"/>
  <c r="U26" i="5"/>
  <c r="U16" i="5"/>
  <c r="Z16" i="5"/>
  <c r="AE16" i="5"/>
  <c r="U28" i="5"/>
  <c r="U18" i="5"/>
  <c r="Z18" i="5"/>
  <c r="AE18" i="5"/>
  <c r="U29" i="5"/>
  <c r="U19" i="5"/>
  <c r="Z19" i="5"/>
  <c r="AE19" i="5"/>
  <c r="U27" i="5"/>
  <c r="U17" i="5"/>
  <c r="Z17" i="5"/>
  <c r="AE17" i="5"/>
  <c r="G9" i="5"/>
  <c r="F13" i="5"/>
  <c r="U20" i="5"/>
  <c r="U21" i="5"/>
  <c r="U22" i="5"/>
  <c r="U23" i="5"/>
  <c r="G8" i="5"/>
  <c r="V10" i="5"/>
  <c r="V11" i="5"/>
  <c r="V13" i="5"/>
  <c r="G18" i="5"/>
  <c r="G27" i="5"/>
  <c r="G21" i="5"/>
  <c r="V29" i="5"/>
  <c r="V19" i="5"/>
  <c r="AA19" i="5"/>
  <c r="AF19" i="5"/>
  <c r="V27" i="5"/>
  <c r="V17" i="5"/>
  <c r="AA17" i="5"/>
  <c r="AF17" i="5"/>
  <c r="V28" i="5"/>
  <c r="V18" i="5"/>
  <c r="AA18" i="5"/>
  <c r="AF18" i="5"/>
  <c r="V26" i="5"/>
  <c r="V16" i="5"/>
  <c r="AA16" i="5"/>
  <c r="AF16" i="5"/>
  <c r="G12" i="5"/>
  <c r="V20" i="5"/>
  <c r="V21" i="5"/>
  <c r="V22" i="5"/>
  <c r="V23" i="5"/>
  <c r="H8" i="5"/>
  <c r="H9" i="5"/>
  <c r="H20" i="5"/>
  <c r="H15" i="5"/>
  <c r="H25" i="5"/>
  <c r="H12" i="5"/>
</calcChain>
</file>

<file path=xl/sharedStrings.xml><?xml version="1.0" encoding="utf-8"?>
<sst xmlns="http://schemas.openxmlformats.org/spreadsheetml/2006/main" count="191" uniqueCount="125">
  <si>
    <t>Fig. 1</t>
  </si>
  <si>
    <t>Period</t>
  </si>
  <si>
    <t>Class Name</t>
  </si>
  <si>
    <t>Weekend</t>
  </si>
  <si>
    <t>History</t>
  </si>
  <si>
    <t>Math</t>
  </si>
  <si>
    <t>Physics</t>
  </si>
  <si>
    <t>Bible</t>
  </si>
  <si>
    <t>English</t>
  </si>
  <si>
    <t>Orchestra</t>
  </si>
  <si>
    <t>Office Hours</t>
  </si>
  <si>
    <t>Break</t>
  </si>
  <si>
    <t>Assembly</t>
  </si>
  <si>
    <t>ADV</t>
  </si>
  <si>
    <t>FAC PLC</t>
  </si>
  <si>
    <t>FAC MTGS</t>
  </si>
  <si>
    <t>ARTS/ADV</t>
  </si>
  <si>
    <t>Block</t>
  </si>
  <si>
    <t>A</t>
  </si>
  <si>
    <t>B</t>
  </si>
  <si>
    <t>C</t>
  </si>
  <si>
    <t>D</t>
  </si>
  <si>
    <t>E</t>
  </si>
  <si>
    <t>F</t>
  </si>
  <si>
    <t>G</t>
  </si>
  <si>
    <t>Fig. 4</t>
  </si>
  <si>
    <t>Weekly Interjections</t>
  </si>
  <si>
    <t>S</t>
  </si>
  <si>
    <t>M</t>
  </si>
  <si>
    <t>Tu</t>
  </si>
  <si>
    <t>W</t>
  </si>
  <si>
    <t>Th</t>
  </si>
  <si>
    <t>Weekly Timings</t>
  </si>
  <si>
    <t>8:00-8:30</t>
  </si>
  <si>
    <t>7:45-8:30</t>
  </si>
  <si>
    <t>7:45-9:00</t>
  </si>
  <si>
    <t>9:40-9:55</t>
  </si>
  <si>
    <t>10:10-10:25</t>
  </si>
  <si>
    <t>9:40-10:25</t>
  </si>
  <si>
    <t>1:10-1:50</t>
  </si>
  <si>
    <t>1:40-1:50</t>
  </si>
  <si>
    <t>1:10-1:20</t>
  </si>
  <si>
    <t>3:00-3:30</t>
  </si>
  <si>
    <t>8:30-9:40</t>
  </si>
  <si>
    <t>9:00-10:10</t>
  </si>
  <si>
    <t>9:55-11:05</t>
  </si>
  <si>
    <t>10:25-11:35</t>
  </si>
  <si>
    <t>11:05-1:10</t>
  </si>
  <si>
    <t>11:35-1:40</t>
  </si>
  <si>
    <t>1:50-3:00</t>
  </si>
  <si>
    <t>1:20-2:30</t>
  </si>
  <si>
    <t>Result</t>
  </si>
  <si>
    <t>Name</t>
  </si>
  <si>
    <t>Time</t>
  </si>
  <si>
    <t>Fig. 3</t>
  </si>
  <si>
    <t>Past A Day (PAD)</t>
  </si>
  <si>
    <t>Date to Schedule</t>
  </si>
  <si>
    <t>Days Since PAD</t>
  </si>
  <si>
    <t>Day Number</t>
  </si>
  <si>
    <t>My Schedule</t>
  </si>
  <si>
    <t>Non-Sched. Days</t>
  </si>
  <si>
    <t>WMS Schedule Utility: By Joshua Wang</t>
  </si>
  <si>
    <t>Lost?</t>
  </si>
  <si>
    <t>What's a "Past A Day"?</t>
  </si>
  <si>
    <t>Help (FAQ)</t>
  </si>
  <si>
    <t>Other Problems</t>
  </si>
  <si>
    <t>How can I change my schedule / settings?</t>
  </si>
  <si>
    <r>
      <t>If you've got any other questions, then please send them to the creator at</t>
    </r>
    <r>
      <rPr>
        <b/>
        <sz val="12"/>
        <color theme="1"/>
        <rFont val="Calibri"/>
        <family val="2"/>
        <scheme val="minor"/>
      </rPr>
      <t xml:space="preserve"> jwangc2@gmail.com</t>
    </r>
    <r>
      <rPr>
        <sz val="12"/>
        <color theme="1"/>
        <rFont val="Calibri"/>
        <family val="2"/>
        <scheme val="minor"/>
      </rPr>
      <t xml:space="preserve"> for further help.</t>
    </r>
  </si>
  <si>
    <r>
      <t xml:space="preserve">If you are ever lost, remember that you can always press the </t>
    </r>
    <r>
      <rPr>
        <b/>
        <sz val="12"/>
        <color theme="1"/>
        <rFont val="Calibri"/>
        <family val="2"/>
        <scheme val="minor"/>
      </rPr>
      <t>Blue "Main Menu" button</t>
    </r>
    <r>
      <rPr>
        <sz val="12"/>
        <color theme="1"/>
        <rFont val="Calibri"/>
        <family val="2"/>
        <scheme val="minor"/>
      </rPr>
      <t xml:space="preserve"> to get to the Starting Page. From there you can access any page in this document (including this one).</t>
    </r>
  </si>
  <si>
    <r>
      <t xml:space="preserve">If you happen to have a different schedule, then all you have to do is </t>
    </r>
    <r>
      <rPr>
        <b/>
        <sz val="11"/>
        <color theme="1"/>
        <rFont val="Calibri"/>
        <family val="2"/>
        <scheme val="minor"/>
      </rPr>
      <t>run through the "Setup" process again</t>
    </r>
    <r>
      <rPr>
        <sz val="11"/>
        <color theme="1"/>
        <rFont val="Calibri"/>
        <family val="2"/>
        <scheme val="minor"/>
      </rPr>
      <t>. To do so, go to the Starting Page by pressing the Blue "Main Menu" button. From there, press the Blue "Setup" button to set your schedule again.</t>
    </r>
  </si>
  <si>
    <t>What is "Macro"?</t>
  </si>
  <si>
    <r>
      <t xml:space="preserve">"Macro" means that </t>
    </r>
    <r>
      <rPr>
        <b/>
        <sz val="12"/>
        <color theme="1"/>
        <rFont val="Calibri"/>
        <family val="2"/>
        <scheme val="minor"/>
      </rPr>
      <t>this document uses functions likes buttons to help guide you</t>
    </r>
    <r>
      <rPr>
        <sz val="12"/>
        <color theme="1"/>
        <rFont val="Calibri"/>
        <family val="2"/>
        <scheme val="minor"/>
      </rPr>
      <t xml:space="preserve"> through setup and scheduling. Macros must be enabled for this functionality to be used.</t>
    </r>
    <r>
      <rPr>
        <b/>
        <sz val="12"/>
        <color theme="1"/>
        <rFont val="Calibri"/>
        <family val="2"/>
        <scheme val="minor"/>
      </rPr>
      <t xml:space="preserve"> You do not, however, NEED to have Macros enabled to use this utility.</t>
    </r>
  </si>
  <si>
    <t>x</t>
  </si>
  <si>
    <t>Basic Schedule</t>
  </si>
  <si>
    <t>Real Schedule</t>
  </si>
  <si>
    <t>Fig. 2: Free Matrix</t>
  </si>
  <si>
    <t>Setup</t>
  </si>
  <si>
    <r>
      <rPr>
        <i/>
        <sz val="11"/>
        <color theme="1"/>
        <rFont val="Calibri"/>
        <family val="2"/>
        <scheme val="minor"/>
      </rPr>
      <t xml:space="preserve">This is an attempt to help make the new schedule easier to work with. If you give this program your schedule and a "date to schedule", then it will give you the schedule for that day, completely labelled with Class Names and Times.
</t>
    </r>
    <r>
      <rPr>
        <sz val="12"/>
        <color theme="1"/>
        <rFont val="Calibri"/>
        <family val="2"/>
        <scheme val="minor"/>
      </rPr>
      <t xml:space="preserve">
</t>
    </r>
    <r>
      <rPr>
        <u/>
        <sz val="11"/>
        <color theme="1"/>
        <rFont val="Calibri"/>
        <family val="2"/>
        <scheme val="minor"/>
      </rPr>
      <t>Blue buttons are your friends:</t>
    </r>
    <r>
      <rPr>
        <sz val="11"/>
        <color theme="1"/>
        <rFont val="Calibri"/>
        <family val="2"/>
        <scheme val="minor"/>
      </rPr>
      <t xml:space="preserve">
&gt; If you need ANY help, please press "Help" below.
&gt; If this is your first time, press "Setup" to get started.
&gt; Otherwise, press "My Schedule" to see your schedule.</t>
    </r>
  </si>
  <si>
    <r>
      <t xml:space="preserve">A "Past A Day" is </t>
    </r>
    <r>
      <rPr>
        <b/>
        <sz val="12"/>
        <color theme="1"/>
        <rFont val="Calibri"/>
        <family val="2"/>
        <scheme val="minor"/>
      </rPr>
      <t>an "A" day that you know has already passed</t>
    </r>
    <r>
      <rPr>
        <sz val="12"/>
        <color theme="1"/>
        <rFont val="Calibri"/>
        <family val="2"/>
        <scheme val="minor"/>
      </rPr>
      <t>. The more recent this "Past A Day" is, the more accurate the scheduler should be.</t>
    </r>
  </si>
  <si>
    <t>Lab Free</t>
  </si>
  <si>
    <t>Fig 2.1 (Example: 7th Lab Free on B and F Days)</t>
  </si>
  <si>
    <t>Unscheduled</t>
  </si>
  <si>
    <t>Step 1:</t>
  </si>
  <si>
    <t>Step 1: Course Names</t>
  </si>
  <si>
    <t>Step 2: Lab Frees</t>
  </si>
  <si>
    <t>Step 3: Extra Non-Scheduled Days</t>
  </si>
  <si>
    <t>Put in the latest Past "A" Day below. Then put in a "Date to Schedule".</t>
  </si>
  <si>
    <t>Step 2:</t>
  </si>
  <si>
    <r>
      <t xml:space="preserve">Fill out your course names below in the blue (periods 1-7). </t>
    </r>
    <r>
      <rPr>
        <b/>
        <sz val="11"/>
        <color theme="1"/>
        <rFont val="Calibri"/>
        <family val="2"/>
        <scheme val="minor"/>
      </rPr>
      <t>Use the name "Free" only if that entire period is a free period.</t>
    </r>
  </si>
  <si>
    <r>
      <t>Clear Fig. 2 (or press CLEAR).</t>
    </r>
    <r>
      <rPr>
        <b/>
        <sz val="11"/>
        <color theme="1"/>
        <rFont val="Calibri"/>
        <family val="2"/>
        <scheme val="minor"/>
      </rPr>
      <t xml:space="preserve"> Place an "x"</t>
    </r>
    <r>
      <rPr>
        <sz val="11"/>
        <color theme="1"/>
        <rFont val="Calibri"/>
        <family val="2"/>
        <scheme val="minor"/>
      </rPr>
      <t xml:space="preserve"> on the blocks (Letter Day, Period Number) that you have a lab free. </t>
    </r>
    <r>
      <rPr>
        <b/>
        <sz val="11"/>
        <color theme="1"/>
        <rFont val="Calibri"/>
        <family val="2"/>
        <scheme val="minor"/>
      </rPr>
      <t>Do not place an "x" in the gray boxes</t>
    </r>
    <r>
      <rPr>
        <sz val="11"/>
        <color theme="1"/>
        <rFont val="Calibri"/>
        <family val="2"/>
        <scheme val="minor"/>
      </rPr>
      <t>. See Fig 2.1 for an example.</t>
    </r>
  </si>
  <si>
    <t xml:space="preserve"> Put any non-scheduled days below. The dates of breaks and exams from the school calendar are implemented internally.</t>
  </si>
  <si>
    <t>7:45</t>
  </si>
  <si>
    <t>PLC
(7:45-8:30)</t>
  </si>
  <si>
    <t>Faculty and Dept. Meetings
(7:45-9:00)</t>
  </si>
  <si>
    <t>8:00</t>
  </si>
  <si>
    <t>Office Hours
(8:00-8:30)</t>
  </si>
  <si>
    <t>8:30</t>
  </si>
  <si>
    <t>9:00</t>
  </si>
  <si>
    <t>9:40</t>
  </si>
  <si>
    <t>Flex Assembly
(9:40-10:25)</t>
  </si>
  <si>
    <t>Advisory</t>
  </si>
  <si>
    <t>9:55</t>
  </si>
  <si>
    <t>10:00</t>
  </si>
  <si>
    <t>10:10</t>
  </si>
  <si>
    <t>10:25</t>
  </si>
  <si>
    <t>11:00</t>
  </si>
  <si>
    <t>11:05</t>
  </si>
  <si>
    <t>11:35</t>
  </si>
  <si>
    <t>12:00</t>
  </si>
  <si>
    <t>1:00</t>
  </si>
  <si>
    <t>1:10</t>
  </si>
  <si>
    <t>9/10 Adv.&amp; PA 11/2 Adv.
(1:10-1:50)</t>
  </si>
  <si>
    <t>9/10 Adv. &amp; PL 11/2 Arts
(1:10-1:50)</t>
  </si>
  <si>
    <t>1:20</t>
  </si>
  <si>
    <t>1:40</t>
  </si>
  <si>
    <t>1:50</t>
  </si>
  <si>
    <t>2:00</t>
  </si>
  <si>
    <t>2:30</t>
  </si>
  <si>
    <t>3:00- 3:30</t>
  </si>
  <si>
    <t>Office Hours
(3:00-3:30)</t>
  </si>
  <si>
    <t>and Lunch</t>
  </si>
  <si>
    <t>Weekly Schedule</t>
  </si>
  <si>
    <r>
      <t xml:space="preserve">Check out your results below!
</t>
    </r>
    <r>
      <rPr>
        <b/>
        <sz val="11"/>
        <rFont val="Calibri"/>
        <family val="2"/>
        <scheme val="minor"/>
      </rPr>
      <t>Press "Week Overview" (above) to see the week's schedule.</t>
    </r>
  </si>
  <si>
    <t>What is this, and how should you use this feature?</t>
  </si>
  <si>
    <r>
      <t xml:space="preserve">Below is the </t>
    </r>
    <r>
      <rPr>
        <b/>
        <sz val="11"/>
        <color theme="1"/>
        <rFont val="Calibri"/>
        <family val="2"/>
        <scheme val="minor"/>
      </rPr>
      <t>Schedule for the Week</t>
    </r>
    <r>
      <rPr>
        <sz val="11"/>
        <color theme="1"/>
        <rFont val="Calibri"/>
        <family val="2"/>
        <scheme val="minor"/>
      </rPr>
      <t xml:space="preserve"> of the "Date to Schedule."
So</t>
    </r>
    <r>
      <rPr>
        <b/>
        <sz val="11"/>
        <color theme="1"/>
        <rFont val="Calibri"/>
        <family val="2"/>
        <scheme val="minor"/>
      </rPr>
      <t xml:space="preserve"> if you want</t>
    </r>
    <r>
      <rPr>
        <sz val="11"/>
        <color theme="1"/>
        <rFont val="Calibri"/>
        <family val="2"/>
        <scheme val="minor"/>
      </rPr>
      <t xml:space="preserve"> to look a week ahead or behind, then you should</t>
    </r>
    <r>
      <rPr>
        <b/>
        <sz val="11"/>
        <color theme="1"/>
        <rFont val="Calibri"/>
        <family val="2"/>
        <scheme val="minor"/>
      </rPr>
      <t xml:space="preserve"> increase or decrease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the "Date to Schedule" on the previous page</t>
    </r>
    <r>
      <rPr>
        <sz val="11"/>
        <color theme="1"/>
        <rFont val="Calibri"/>
        <family val="2"/>
        <scheme val="minor"/>
      </rPr>
      <t xml:space="preserve"> by 7.
</t>
    </r>
    <r>
      <rPr>
        <b/>
        <sz val="11"/>
        <color theme="1"/>
        <rFont val="Calibri"/>
        <family val="2"/>
        <scheme val="minor"/>
      </rPr>
      <t>Or if you want this week's</t>
    </r>
    <r>
      <rPr>
        <sz val="11"/>
        <color theme="1"/>
        <rFont val="Calibri"/>
        <family val="2"/>
        <scheme val="minor"/>
      </rPr>
      <t xml:space="preserve"> schedule, simply </t>
    </r>
    <r>
      <rPr>
        <b/>
        <sz val="11"/>
        <color theme="1"/>
        <rFont val="Calibri"/>
        <family val="2"/>
        <scheme val="minor"/>
      </rPr>
      <t>set the "Date to Schedule" to today's date</t>
    </r>
    <r>
      <rPr>
        <sz val="11"/>
        <color theme="1"/>
        <rFont val="Calibri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</si>
</sst>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0"/>
      <name val="Helvetica Neue"/>
    </font>
    <font>
      <sz val="11"/>
      <color rgb="FF000000"/>
      <name val="Calibri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B4CBF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6C47A"/>
        <bgColor indexed="64"/>
      </patternFill>
    </fill>
  </fills>
  <borders count="6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11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11"/>
      </top>
      <bottom style="thin">
        <color indexed="11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auto="1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auto="1"/>
      </top>
      <bottom style="thin">
        <color indexed="8"/>
      </bottom>
      <diagonal/>
    </border>
    <border>
      <left style="medium">
        <color auto="1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auto="1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auto="1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auto="1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auto="1"/>
      </left>
      <right style="thin">
        <color indexed="8"/>
      </right>
      <top style="medium">
        <color indexed="8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indexed="8"/>
      </left>
      <right/>
      <top style="medium">
        <color auto="1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 style="medium">
        <color auto="1"/>
      </top>
      <bottom style="thin">
        <color indexed="8"/>
      </bottom>
      <diagonal/>
    </border>
    <border>
      <left/>
      <right style="medium">
        <color auto="1"/>
      </right>
      <top style="thin">
        <color indexed="8"/>
      </top>
      <bottom style="thin">
        <color indexed="8"/>
      </bottom>
      <diagonal/>
    </border>
    <border>
      <left/>
      <right style="medium">
        <color auto="1"/>
      </right>
      <top style="thin">
        <color indexed="8"/>
      </top>
      <bottom/>
      <diagonal/>
    </border>
    <border>
      <left/>
      <right style="medium">
        <color auto="1"/>
      </right>
      <top/>
      <bottom style="thin">
        <color indexed="8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/>
      <diagonal/>
    </border>
    <border>
      <left style="thin">
        <color indexed="8"/>
      </left>
      <right style="thin">
        <color auto="1"/>
      </right>
      <top/>
      <bottom/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</borders>
  <cellStyleXfs count="3">
    <xf numFmtId="0" fontId="0" fillId="0" borderId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329">
    <xf numFmtId="0" fontId="0" fillId="0" borderId="0" xfId="0"/>
    <xf numFmtId="0" fontId="2" fillId="3" borderId="3" xfId="0" applyFont="1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0" fontId="2" fillId="2" borderId="16" xfId="0" applyFont="1" applyFill="1" applyBorder="1" applyAlignment="1" applyProtection="1">
      <alignment horizontal="center"/>
    </xf>
    <xf numFmtId="0" fontId="2" fillId="3" borderId="20" xfId="0" applyFont="1" applyFill="1" applyBorder="1" applyAlignment="1" applyProtection="1">
      <alignment horizontal="center"/>
    </xf>
    <xf numFmtId="0" fontId="2" fillId="3" borderId="4" xfId="0" applyFont="1" applyFill="1" applyBorder="1" applyAlignment="1" applyProtection="1">
      <alignment horizontal="center"/>
    </xf>
    <xf numFmtId="0" fontId="0" fillId="3" borderId="5" xfId="0" applyFont="1" applyFill="1" applyBorder="1" applyAlignment="1" applyProtection="1">
      <alignment horizontal="center"/>
    </xf>
    <xf numFmtId="0" fontId="0" fillId="5" borderId="14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3" borderId="8" xfId="0" applyFont="1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5" borderId="9" xfId="0" applyFill="1" applyBorder="1" applyAlignment="1" applyProtection="1">
      <alignment horizontal="center"/>
    </xf>
    <xf numFmtId="164" fontId="0" fillId="5" borderId="14" xfId="0" applyNumberFormat="1" applyFill="1" applyBorder="1" applyAlignment="1" applyProtection="1">
      <alignment horizontal="center"/>
    </xf>
    <xf numFmtId="164" fontId="0" fillId="5" borderId="6" xfId="0" applyNumberFormat="1" applyFill="1" applyBorder="1" applyAlignment="1" applyProtection="1">
      <alignment horizontal="center"/>
    </xf>
    <xf numFmtId="164" fontId="0" fillId="5" borderId="15" xfId="0" applyNumberFormat="1" applyFill="1" applyBorder="1" applyAlignment="1" applyProtection="1">
      <alignment horizontal="center"/>
    </xf>
    <xf numFmtId="164" fontId="0" fillId="5" borderId="9" xfId="0" applyNumberFormat="1" applyFill="1" applyBorder="1" applyAlignment="1" applyProtection="1">
      <alignment horizontal="center"/>
    </xf>
    <xf numFmtId="0" fontId="2" fillId="6" borderId="0" xfId="0" applyFont="1" applyFill="1" applyBorder="1" applyAlignment="1" applyProtection="1">
      <alignment horizontal="center"/>
    </xf>
    <xf numFmtId="0" fontId="2" fillId="6" borderId="0" xfId="0" applyFont="1" applyFill="1" applyBorder="1" applyAlignment="1" applyProtection="1"/>
    <xf numFmtId="0" fontId="0" fillId="6" borderId="0" xfId="0" applyFill="1" applyBorder="1" applyAlignment="1" applyProtection="1">
      <alignment horizontal="left"/>
    </xf>
    <xf numFmtId="0" fontId="0" fillId="6" borderId="0" xfId="0" applyFill="1" applyBorder="1" applyAlignment="1" applyProtection="1"/>
    <xf numFmtId="0" fontId="0" fillId="7" borderId="0" xfId="0" applyFill="1" applyBorder="1" applyProtection="1"/>
    <xf numFmtId="0" fontId="0" fillId="6" borderId="25" xfId="0" applyFill="1" applyBorder="1" applyAlignment="1" applyProtection="1"/>
    <xf numFmtId="0" fontId="2" fillId="7" borderId="25" xfId="0" applyFont="1" applyFill="1" applyBorder="1" applyAlignment="1" applyProtection="1">
      <alignment horizontal="center"/>
    </xf>
    <xf numFmtId="0" fontId="0" fillId="7" borderId="25" xfId="0" applyFill="1" applyBorder="1" applyAlignment="1" applyProtection="1">
      <alignment horizontal="center"/>
    </xf>
    <xf numFmtId="0" fontId="0" fillId="7" borderId="25" xfId="0" applyFill="1" applyBorder="1" applyProtection="1"/>
    <xf numFmtId="164" fontId="0" fillId="7" borderId="25" xfId="0" applyNumberFormat="1" applyFill="1" applyBorder="1" applyAlignment="1" applyProtection="1">
      <alignment horizontal="center"/>
    </xf>
    <xf numFmtId="0" fontId="0" fillId="6" borderId="0" xfId="0" applyFill="1" applyBorder="1" applyProtection="1"/>
    <xf numFmtId="0" fontId="0" fillId="6" borderId="27" xfId="0" applyFill="1" applyBorder="1" applyProtection="1"/>
    <xf numFmtId="0" fontId="3" fillId="7" borderId="0" xfId="0" applyFont="1" applyFill="1" applyBorder="1" applyProtection="1"/>
    <xf numFmtId="0" fontId="4" fillId="7" borderId="0" xfId="0" applyFont="1" applyFill="1" applyBorder="1" applyAlignment="1" applyProtection="1">
      <alignment horizontal="center"/>
    </xf>
    <xf numFmtId="0" fontId="3" fillId="7" borderId="0" xfId="0" applyFont="1" applyFill="1" applyBorder="1" applyAlignment="1" applyProtection="1">
      <alignment horizontal="center"/>
    </xf>
    <xf numFmtId="164" fontId="3" fillId="7" borderId="0" xfId="0" applyNumberFormat="1" applyFont="1" applyFill="1" applyBorder="1" applyAlignment="1" applyProtection="1">
      <alignment horizontal="center"/>
    </xf>
    <xf numFmtId="0" fontId="2" fillId="2" borderId="17" xfId="0" applyFont="1" applyFill="1" applyBorder="1" applyAlignment="1" applyProtection="1">
      <alignment horizontal="center"/>
    </xf>
    <xf numFmtId="0" fontId="2" fillId="7" borderId="0" xfId="0" applyFont="1" applyFill="1" applyBorder="1" applyAlignment="1" applyProtection="1"/>
    <xf numFmtId="0" fontId="2" fillId="7" borderId="25" xfId="0" applyFont="1" applyFill="1" applyBorder="1" applyAlignment="1" applyProtection="1"/>
    <xf numFmtId="0" fontId="0" fillId="7" borderId="0" xfId="0" applyFill="1" applyBorder="1" applyAlignment="1" applyProtection="1">
      <alignment horizontal="left"/>
    </xf>
    <xf numFmtId="0" fontId="0" fillId="7" borderId="25" xfId="0" applyFill="1" applyBorder="1" applyAlignment="1" applyProtection="1">
      <alignment horizontal="left"/>
    </xf>
    <xf numFmtId="0" fontId="0" fillId="7" borderId="0" xfId="0" applyFill="1" applyBorder="1" applyAlignment="1" applyProtection="1"/>
    <xf numFmtId="0" fontId="0" fillId="7" borderId="25" xfId="0" applyFill="1" applyBorder="1" applyAlignment="1" applyProtection="1"/>
    <xf numFmtId="0" fontId="0" fillId="7" borderId="0" xfId="0" applyFill="1" applyBorder="1" applyAlignment="1" applyProtection="1">
      <alignment horizontal="center"/>
    </xf>
    <xf numFmtId="0" fontId="0" fillId="7" borderId="27" xfId="0" applyFill="1" applyBorder="1" applyAlignment="1" applyProtection="1">
      <alignment horizontal="center"/>
    </xf>
    <xf numFmtId="0" fontId="0" fillId="7" borderId="27" xfId="0" applyFill="1" applyBorder="1" applyAlignment="1" applyProtection="1"/>
    <xf numFmtId="0" fontId="0" fillId="7" borderId="28" xfId="0" applyFill="1" applyBorder="1" applyAlignment="1" applyProtection="1"/>
    <xf numFmtId="0" fontId="4" fillId="6" borderId="25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/>
    <xf numFmtId="0" fontId="3" fillId="6" borderId="25" xfId="0" applyFont="1" applyFill="1" applyBorder="1" applyAlignment="1" applyProtection="1">
      <alignment horizontal="left"/>
    </xf>
    <xf numFmtId="0" fontId="3" fillId="6" borderId="25" xfId="0" applyFont="1" applyFill="1" applyBorder="1" applyAlignment="1" applyProtection="1"/>
    <xf numFmtId="0" fontId="3" fillId="6" borderId="0" xfId="0" applyFont="1" applyFill="1" applyBorder="1" applyAlignment="1" applyProtection="1">
      <alignment horizontal="center"/>
    </xf>
    <xf numFmtId="0" fontId="3" fillId="6" borderId="0" xfId="0" applyFont="1" applyFill="1" applyBorder="1" applyAlignment="1" applyProtection="1"/>
    <xf numFmtId="0" fontId="3" fillId="6" borderId="27" xfId="0" applyFont="1" applyFill="1" applyBorder="1" applyAlignment="1" applyProtection="1">
      <alignment horizontal="center"/>
    </xf>
    <xf numFmtId="0" fontId="3" fillId="6" borderId="27" xfId="0" applyFont="1" applyFill="1" applyBorder="1" applyAlignment="1" applyProtection="1"/>
    <xf numFmtId="0" fontId="3" fillId="6" borderId="28" xfId="0" applyFont="1" applyFill="1" applyBorder="1" applyAlignment="1" applyProtection="1"/>
    <xf numFmtId="0" fontId="3" fillId="10" borderId="0" xfId="0" applyFont="1" applyFill="1" applyProtection="1"/>
    <xf numFmtId="0" fontId="0" fillId="10" borderId="0" xfId="0" applyFill="1" applyProtection="1"/>
    <xf numFmtId="0" fontId="0" fillId="0" borderId="0" xfId="0" applyProtection="1"/>
    <xf numFmtId="0" fontId="0" fillId="6" borderId="24" xfId="0" applyFill="1" applyBorder="1" applyAlignment="1" applyProtection="1"/>
    <xf numFmtId="0" fontId="0" fillId="7" borderId="24" xfId="0" applyFill="1" applyBorder="1" applyAlignment="1" applyProtection="1"/>
    <xf numFmtId="0" fontId="0" fillId="6" borderId="24" xfId="0" applyFill="1" applyBorder="1" applyProtection="1"/>
    <xf numFmtId="0" fontId="0" fillId="6" borderId="25" xfId="0" applyFill="1" applyBorder="1" applyProtection="1"/>
    <xf numFmtId="0" fontId="0" fillId="7" borderId="24" xfId="0" applyFill="1" applyBorder="1" applyProtection="1"/>
    <xf numFmtId="14" fontId="0" fillId="4" borderId="18" xfId="0" applyNumberFormat="1" applyFill="1" applyBorder="1" applyAlignment="1" applyProtection="1">
      <alignment horizontal="center"/>
    </xf>
    <xf numFmtId="14" fontId="0" fillId="6" borderId="0" xfId="0" applyNumberFormat="1" applyFill="1" applyBorder="1" applyAlignment="1" applyProtection="1">
      <alignment horizontal="center"/>
    </xf>
    <xf numFmtId="0" fontId="0" fillId="7" borderId="0" xfId="0" applyFill="1" applyProtection="1"/>
    <xf numFmtId="0" fontId="0" fillId="6" borderId="26" xfId="0" applyFill="1" applyBorder="1" applyProtection="1"/>
    <xf numFmtId="0" fontId="0" fillId="6" borderId="28" xfId="0" applyFill="1" applyBorder="1" applyProtection="1"/>
    <xf numFmtId="0" fontId="0" fillId="7" borderId="26" xfId="0" applyFill="1" applyBorder="1" applyProtection="1"/>
    <xf numFmtId="0" fontId="0" fillId="7" borderId="27" xfId="0" applyFill="1" applyBorder="1" applyProtection="1"/>
    <xf numFmtId="0" fontId="3" fillId="7" borderId="27" xfId="0" applyFont="1" applyFill="1" applyBorder="1" applyProtection="1"/>
    <xf numFmtId="0" fontId="0" fillId="7" borderId="28" xfId="0" applyFill="1" applyBorder="1" applyProtection="1"/>
    <xf numFmtId="0" fontId="0" fillId="6" borderId="0" xfId="0" applyFill="1" applyProtection="1"/>
    <xf numFmtId="0" fontId="3" fillId="7" borderId="0" xfId="0" applyFont="1" applyFill="1" applyProtection="1"/>
    <xf numFmtId="0" fontId="3" fillId="6" borderId="25" xfId="0" applyFont="1" applyFill="1" applyBorder="1" applyProtection="1"/>
    <xf numFmtId="2" fontId="0" fillId="0" borderId="0" xfId="0" applyNumberFormat="1" applyProtection="1"/>
    <xf numFmtId="0" fontId="3" fillId="6" borderId="0" xfId="0" applyFont="1" applyFill="1" applyBorder="1" applyProtection="1"/>
    <xf numFmtId="0" fontId="3" fillId="6" borderId="27" xfId="0" applyFont="1" applyFill="1" applyBorder="1" applyProtection="1"/>
    <xf numFmtId="0" fontId="0" fillId="6" borderId="21" xfId="0" applyFill="1" applyBorder="1" applyProtection="1"/>
    <xf numFmtId="0" fontId="0" fillId="6" borderId="22" xfId="0" applyFill="1" applyBorder="1" applyProtection="1"/>
    <xf numFmtId="0" fontId="0" fillId="6" borderId="23" xfId="0" applyFill="1" applyBorder="1" applyProtection="1"/>
    <xf numFmtId="0" fontId="0" fillId="8" borderId="21" xfId="0" applyFill="1" applyBorder="1" applyAlignment="1" applyProtection="1"/>
    <xf numFmtId="0" fontId="0" fillId="8" borderId="22" xfId="0" applyFill="1" applyBorder="1" applyAlignment="1" applyProtection="1"/>
    <xf numFmtId="0" fontId="0" fillId="8" borderId="23" xfId="0" applyFill="1" applyBorder="1" applyAlignment="1" applyProtection="1"/>
    <xf numFmtId="0" fontId="0" fillId="8" borderId="24" xfId="0" applyFill="1" applyBorder="1" applyAlignment="1" applyProtection="1"/>
    <xf numFmtId="0" fontId="0" fillId="8" borderId="25" xfId="0" applyFill="1" applyBorder="1" applyAlignment="1" applyProtection="1"/>
    <xf numFmtId="0" fontId="0" fillId="8" borderId="26" xfId="0" applyFill="1" applyBorder="1" applyAlignment="1" applyProtection="1"/>
    <xf numFmtId="0" fontId="0" fillId="8" borderId="27" xfId="0" applyFill="1" applyBorder="1" applyAlignment="1" applyProtection="1"/>
    <xf numFmtId="0" fontId="0" fillId="8" borderId="28" xfId="0" applyFill="1" applyBorder="1" applyAlignment="1" applyProtection="1"/>
    <xf numFmtId="0" fontId="8" fillId="6" borderId="0" xfId="0" applyFont="1" applyFill="1" applyBorder="1" applyAlignment="1" applyProtection="1">
      <alignment vertical="top" wrapText="1"/>
    </xf>
    <xf numFmtId="0" fontId="12" fillId="8" borderId="27" xfId="0" applyFont="1" applyFill="1" applyBorder="1" applyAlignment="1" applyProtection="1">
      <alignment vertical="top" wrapText="1"/>
    </xf>
    <xf numFmtId="0" fontId="0" fillId="8" borderId="26" xfId="0" applyFill="1" applyBorder="1" applyProtection="1"/>
    <xf numFmtId="0" fontId="0" fillId="8" borderId="27" xfId="0" applyFill="1" applyBorder="1" applyProtection="1"/>
    <xf numFmtId="0" fontId="0" fillId="8" borderId="28" xfId="0" applyFill="1" applyBorder="1" applyProtection="1"/>
    <xf numFmtId="0" fontId="12" fillId="8" borderId="27" xfId="0" applyFont="1" applyFill="1" applyBorder="1" applyAlignment="1" applyProtection="1">
      <alignment vertical="center" wrapText="1"/>
    </xf>
    <xf numFmtId="0" fontId="8" fillId="8" borderId="25" xfId="0" applyFont="1" applyFill="1" applyBorder="1" applyAlignment="1" applyProtection="1">
      <alignment vertical="center" wrapText="1"/>
    </xf>
    <xf numFmtId="0" fontId="8" fillId="8" borderId="28" xfId="0" applyFont="1" applyFill="1" applyBorder="1" applyAlignment="1" applyProtection="1">
      <alignment vertical="center" wrapText="1"/>
    </xf>
    <xf numFmtId="0" fontId="0" fillId="6" borderId="0" xfId="0" applyFill="1" applyBorder="1" applyAlignment="1" applyProtection="1">
      <alignment horizontal="center"/>
    </xf>
    <xf numFmtId="0" fontId="8" fillId="8" borderId="27" xfId="0" applyFont="1" applyFill="1" applyBorder="1" applyAlignment="1" applyProtection="1">
      <alignment vertical="center" wrapText="1"/>
    </xf>
    <xf numFmtId="0" fontId="0" fillId="11" borderId="5" xfId="0" applyFill="1" applyBorder="1" applyAlignment="1" applyProtection="1">
      <alignment horizontal="center"/>
    </xf>
    <xf numFmtId="0" fontId="0" fillId="9" borderId="6" xfId="0" applyFill="1" applyBorder="1" applyAlignment="1" applyProtection="1">
      <protection locked="0"/>
    </xf>
    <xf numFmtId="0" fontId="2" fillId="11" borderId="11" xfId="0" applyFont="1" applyFill="1" applyBorder="1" applyAlignment="1" applyProtection="1">
      <alignment horizontal="center"/>
    </xf>
    <xf numFmtId="0" fontId="2" fillId="11" borderId="12" xfId="0" applyFont="1" applyFill="1" applyBorder="1" applyAlignment="1" applyProtection="1">
      <alignment horizontal="center"/>
    </xf>
    <xf numFmtId="0" fontId="2" fillId="11" borderId="13" xfId="0" applyFont="1" applyFill="1" applyBorder="1" applyAlignment="1" applyProtection="1">
      <alignment horizontal="center"/>
    </xf>
    <xf numFmtId="0" fontId="0" fillId="11" borderId="14" xfId="0" applyFill="1" applyBorder="1" applyAlignment="1" applyProtection="1">
      <alignment horizontal="center"/>
      <protection locked="0"/>
    </xf>
    <xf numFmtId="0" fontId="0" fillId="11" borderId="6" xfId="0" applyFill="1" applyBorder="1" applyAlignment="1" applyProtection="1">
      <alignment horizontal="center"/>
      <protection locked="0"/>
    </xf>
    <xf numFmtId="0" fontId="0" fillId="11" borderId="8" xfId="0" applyFill="1" applyBorder="1" applyAlignment="1" applyProtection="1">
      <alignment horizontal="center"/>
    </xf>
    <xf numFmtId="0" fontId="0" fillId="11" borderId="15" xfId="0" applyFill="1" applyBorder="1" applyAlignment="1" applyProtection="1">
      <alignment horizontal="center"/>
      <protection locked="0"/>
    </xf>
    <xf numFmtId="0" fontId="2" fillId="11" borderId="33" xfId="0" applyFont="1" applyFill="1" applyBorder="1" applyAlignment="1" applyProtection="1">
      <alignment horizontal="center"/>
    </xf>
    <xf numFmtId="2" fontId="0" fillId="11" borderId="35" xfId="0" applyNumberFormat="1" applyFill="1" applyBorder="1" applyAlignment="1" applyProtection="1">
      <alignment horizontal="center"/>
    </xf>
    <xf numFmtId="0" fontId="2" fillId="11" borderId="3" xfId="0" applyFont="1" applyFill="1" applyBorder="1" applyAlignment="1" applyProtection="1">
      <alignment horizontal="center"/>
    </xf>
    <xf numFmtId="0" fontId="2" fillId="11" borderId="4" xfId="0" applyFont="1" applyFill="1" applyBorder="1" applyAlignment="1" applyProtection="1"/>
    <xf numFmtId="0" fontId="0" fillId="11" borderId="6" xfId="0" applyFill="1" applyBorder="1" applyAlignment="1" applyProtection="1">
      <alignment horizontal="left"/>
    </xf>
    <xf numFmtId="0" fontId="0" fillId="11" borderId="7" xfId="0" applyFill="1" applyBorder="1" applyAlignment="1" applyProtection="1"/>
    <xf numFmtId="0" fontId="0" fillId="11" borderId="6" xfId="0" applyFill="1" applyBorder="1" applyAlignment="1" applyProtection="1"/>
    <xf numFmtId="0" fontId="2" fillId="11" borderId="17" xfId="0" applyFont="1" applyFill="1" applyBorder="1" applyAlignment="1" applyProtection="1">
      <alignment horizontal="center"/>
    </xf>
    <xf numFmtId="0" fontId="0" fillId="14" borderId="5" xfId="0" applyFill="1" applyBorder="1" applyAlignment="1" applyProtection="1">
      <alignment horizontal="center"/>
    </xf>
    <xf numFmtId="1" fontId="5" fillId="14" borderId="14" xfId="0" applyNumberFormat="1" applyFont="1" applyFill="1" applyBorder="1" applyAlignment="1" applyProtection="1">
      <alignment horizontal="center"/>
    </xf>
    <xf numFmtId="0" fontId="0" fillId="14" borderId="14" xfId="0" applyFill="1" applyBorder="1" applyProtection="1"/>
    <xf numFmtId="164" fontId="0" fillId="14" borderId="6" xfId="0" applyNumberFormat="1" applyFill="1" applyBorder="1" applyAlignment="1" applyProtection="1">
      <alignment horizontal="center"/>
    </xf>
    <xf numFmtId="0" fontId="5" fillId="14" borderId="14" xfId="0" applyFont="1" applyFill="1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5" fillId="14" borderId="15" xfId="0" applyFont="1" applyFill="1" applyBorder="1" applyAlignment="1" applyProtection="1">
      <alignment horizontal="center"/>
    </xf>
    <xf numFmtId="0" fontId="0" fillId="14" borderId="15" xfId="0" applyFill="1" applyBorder="1" applyProtection="1"/>
    <xf numFmtId="164" fontId="0" fillId="14" borderId="9" xfId="0" applyNumberFormat="1" applyFill="1" applyBorder="1" applyAlignment="1" applyProtection="1">
      <alignment horizontal="center"/>
    </xf>
    <xf numFmtId="0" fontId="0" fillId="16" borderId="29" xfId="0" applyFont="1" applyFill="1" applyBorder="1" applyAlignment="1" applyProtection="1">
      <alignment horizontal="center"/>
    </xf>
    <xf numFmtId="2" fontId="0" fillId="16" borderId="30" xfId="0" applyNumberFormat="1" applyFont="1" applyFill="1" applyBorder="1" applyAlignment="1" applyProtection="1">
      <alignment horizontal="center"/>
    </xf>
    <xf numFmtId="14" fontId="0" fillId="16" borderId="31" xfId="0" applyNumberFormat="1" applyFont="1" applyFill="1" applyBorder="1" applyAlignment="1" applyProtection="1">
      <alignment horizontal="center"/>
    </xf>
    <xf numFmtId="0" fontId="2" fillId="16" borderId="3" xfId="0" applyFont="1" applyFill="1" applyBorder="1" applyAlignment="1" applyProtection="1">
      <alignment horizontal="center"/>
    </xf>
    <xf numFmtId="0" fontId="2" fillId="16" borderId="20" xfId="0" applyFont="1" applyFill="1" applyBorder="1" applyAlignment="1" applyProtection="1">
      <alignment horizontal="center"/>
    </xf>
    <xf numFmtId="0" fontId="2" fillId="16" borderId="20" xfId="0" applyFont="1" applyFill="1" applyBorder="1" applyProtection="1"/>
    <xf numFmtId="0" fontId="2" fillId="16" borderId="4" xfId="0" applyFont="1" applyFill="1" applyBorder="1" applyAlignment="1" applyProtection="1">
      <alignment horizontal="center"/>
    </xf>
    <xf numFmtId="0" fontId="0" fillId="16" borderId="5" xfId="0" applyFill="1" applyBorder="1" applyAlignment="1" applyProtection="1">
      <alignment horizontal="center"/>
    </xf>
    <xf numFmtId="0" fontId="0" fillId="16" borderId="14" xfId="0" applyFill="1" applyBorder="1" applyProtection="1"/>
    <xf numFmtId="164" fontId="0" fillId="16" borderId="6" xfId="0" applyNumberFormat="1" applyFill="1" applyBorder="1" applyAlignment="1" applyProtection="1">
      <alignment horizontal="center"/>
    </xf>
    <xf numFmtId="0" fontId="0" fillId="16" borderId="14" xfId="0" applyFill="1" applyBorder="1" applyAlignment="1" applyProtection="1">
      <alignment horizontal="center"/>
    </xf>
    <xf numFmtId="14" fontId="4" fillId="11" borderId="36" xfId="0" applyNumberFormat="1" applyFont="1" applyFill="1" applyBorder="1" applyAlignment="1" applyProtection="1"/>
    <xf numFmtId="0" fontId="2" fillId="11" borderId="18" xfId="0" applyFont="1" applyFill="1" applyBorder="1" applyAlignment="1" applyProtection="1"/>
    <xf numFmtId="0" fontId="2" fillId="2" borderId="1" xfId="0" applyFont="1" applyFill="1" applyBorder="1" applyAlignment="1" applyProtection="1"/>
    <xf numFmtId="0" fontId="2" fillId="2" borderId="10" xfId="0" applyFont="1" applyFill="1" applyBorder="1" applyAlignment="1" applyProtection="1"/>
    <xf numFmtId="0" fontId="2" fillId="2" borderId="2" xfId="0" applyFont="1" applyFill="1" applyBorder="1" applyAlignment="1" applyProtection="1"/>
    <xf numFmtId="0" fontId="2" fillId="7" borderId="0" xfId="0" applyFont="1" applyFill="1" applyBorder="1" applyAlignment="1" applyProtection="1">
      <alignment horizontal="center"/>
    </xf>
    <xf numFmtId="14" fontId="0" fillId="9" borderId="32" xfId="0" applyNumberFormat="1" applyFill="1" applyBorder="1" applyAlignment="1" applyProtection="1">
      <alignment horizontal="center"/>
      <protection locked="0"/>
    </xf>
    <xf numFmtId="14" fontId="0" fillId="9" borderId="35" xfId="0" applyNumberFormat="1" applyFill="1" applyBorder="1" applyAlignment="1" applyProtection="1">
      <alignment vertical="center"/>
    </xf>
    <xf numFmtId="0" fontId="2" fillId="17" borderId="3" xfId="0" applyFont="1" applyFill="1" applyBorder="1" applyAlignment="1" applyProtection="1">
      <alignment horizontal="center"/>
    </xf>
    <xf numFmtId="0" fontId="2" fillId="17" borderId="20" xfId="0" applyFont="1" applyFill="1" applyBorder="1" applyAlignment="1" applyProtection="1">
      <alignment horizontal="center"/>
    </xf>
    <xf numFmtId="0" fontId="2" fillId="17" borderId="4" xfId="0" applyFont="1" applyFill="1" applyBorder="1" applyAlignment="1" applyProtection="1">
      <alignment horizontal="center"/>
    </xf>
    <xf numFmtId="0" fontId="2" fillId="17" borderId="5" xfId="0" applyFont="1" applyFill="1" applyBorder="1" applyAlignment="1" applyProtection="1">
      <alignment horizontal="center"/>
    </xf>
    <xf numFmtId="0" fontId="0" fillId="13" borderId="14" xfId="0" applyFill="1" applyBorder="1" applyAlignment="1" applyProtection="1">
      <alignment horizontal="center"/>
    </xf>
    <xf numFmtId="0" fontId="0" fillId="12" borderId="14" xfId="0" applyFill="1" applyBorder="1" applyAlignment="1" applyProtection="1">
      <alignment horizontal="center"/>
    </xf>
    <xf numFmtId="0" fontId="0" fillId="12" borderId="6" xfId="0" applyFill="1" applyBorder="1" applyAlignment="1" applyProtection="1">
      <alignment horizontal="center"/>
    </xf>
    <xf numFmtId="0" fontId="0" fillId="13" borderId="6" xfId="0" applyFill="1" applyBorder="1" applyAlignment="1" applyProtection="1">
      <alignment horizontal="center"/>
    </xf>
    <xf numFmtId="0" fontId="2" fillId="17" borderId="8" xfId="0" applyFont="1" applyFill="1" applyBorder="1" applyAlignment="1" applyProtection="1">
      <alignment horizontal="center"/>
    </xf>
    <xf numFmtId="0" fontId="0" fillId="12" borderId="15" xfId="0" applyFill="1" applyBorder="1" applyAlignment="1" applyProtection="1">
      <alignment horizontal="center"/>
    </xf>
    <xf numFmtId="0" fontId="0" fillId="13" borderId="15" xfId="0" applyFill="1" applyBorder="1" applyAlignment="1" applyProtection="1">
      <alignment horizontal="center"/>
    </xf>
    <xf numFmtId="0" fontId="0" fillId="13" borderId="9" xfId="0" applyFill="1" applyBorder="1" applyAlignment="1" applyProtection="1">
      <alignment horizontal="center"/>
    </xf>
    <xf numFmtId="0" fontId="0" fillId="9" borderId="14" xfId="0" applyFill="1" applyBorder="1" applyAlignment="1" applyProtection="1">
      <alignment horizontal="center"/>
      <protection locked="0"/>
    </xf>
    <xf numFmtId="0" fontId="0" fillId="9" borderId="6" xfId="0" applyFill="1" applyBorder="1" applyAlignment="1" applyProtection="1">
      <alignment horizontal="center"/>
      <protection locked="0"/>
    </xf>
    <xf numFmtId="0" fontId="0" fillId="9" borderId="15" xfId="0" applyFill="1" applyBorder="1" applyAlignment="1" applyProtection="1">
      <alignment horizontal="center"/>
      <protection locked="0"/>
    </xf>
    <xf numFmtId="0" fontId="0" fillId="9" borderId="9" xfId="0" applyFill="1" applyBorder="1" applyAlignment="1" applyProtection="1">
      <alignment horizontal="center"/>
      <protection locked="0"/>
    </xf>
    <xf numFmtId="0" fontId="2" fillId="15" borderId="3" xfId="0" applyFont="1" applyFill="1" applyBorder="1" applyAlignment="1" applyProtection="1">
      <alignment horizontal="center"/>
    </xf>
    <xf numFmtId="0" fontId="2" fillId="15" borderId="20" xfId="0" applyFont="1" applyFill="1" applyBorder="1" applyAlignment="1" applyProtection="1">
      <alignment horizontal="center"/>
    </xf>
    <xf numFmtId="0" fontId="2" fillId="15" borderId="4" xfId="0" applyFont="1" applyFill="1" applyBorder="1" applyAlignment="1" applyProtection="1">
      <alignment horizontal="center"/>
    </xf>
    <xf numFmtId="0" fontId="2" fillId="15" borderId="5" xfId="0" applyFont="1" applyFill="1" applyBorder="1" applyAlignment="1" applyProtection="1">
      <alignment horizontal="center"/>
    </xf>
    <xf numFmtId="0" fontId="2" fillId="15" borderId="8" xfId="0" applyFont="1" applyFill="1" applyBorder="1" applyAlignment="1" applyProtection="1">
      <alignment horizontal="center"/>
    </xf>
    <xf numFmtId="0" fontId="0" fillId="7" borderId="22" xfId="0" applyFill="1" applyBorder="1" applyProtection="1"/>
    <xf numFmtId="0" fontId="3" fillId="7" borderId="22" xfId="0" applyFont="1" applyFill="1" applyBorder="1" applyProtection="1"/>
    <xf numFmtId="0" fontId="0" fillId="7" borderId="21" xfId="0" applyFill="1" applyBorder="1" applyProtection="1"/>
    <xf numFmtId="0" fontId="0" fillId="7" borderId="23" xfId="0" applyFill="1" applyBorder="1" applyProtection="1"/>
    <xf numFmtId="0" fontId="0" fillId="2" borderId="14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</xf>
    <xf numFmtId="0" fontId="0" fillId="2" borderId="9" xfId="0" applyFill="1" applyBorder="1" applyAlignment="1" applyProtection="1">
      <alignment horizontal="center"/>
    </xf>
    <xf numFmtId="1" fontId="0" fillId="2" borderId="14" xfId="0" applyNumberFormat="1" applyFill="1" applyBorder="1" applyAlignment="1" applyProtection="1">
      <alignment horizontal="center"/>
    </xf>
    <xf numFmtId="0" fontId="0" fillId="4" borderId="18" xfId="0" applyFill="1" applyBorder="1" applyAlignment="1" applyProtection="1">
      <alignment horizontal="center"/>
    </xf>
    <xf numFmtId="0" fontId="0" fillId="4" borderId="19" xfId="0" applyFill="1" applyBorder="1" applyAlignment="1" applyProtection="1">
      <alignment horizontal="center"/>
    </xf>
    <xf numFmtId="0" fontId="0" fillId="9" borderId="36" xfId="0" applyFill="1" applyBorder="1" applyProtection="1">
      <protection locked="0"/>
    </xf>
    <xf numFmtId="0" fontId="0" fillId="9" borderId="18" xfId="0" applyFill="1" applyBorder="1" applyProtection="1">
      <protection locked="0"/>
    </xf>
    <xf numFmtId="0" fontId="0" fillId="9" borderId="19" xfId="0" applyFill="1" applyBorder="1" applyProtection="1">
      <protection locked="0"/>
    </xf>
    <xf numFmtId="14" fontId="0" fillId="9" borderId="34" xfId="0" applyNumberFormat="1" applyFill="1" applyBorder="1" applyAlignment="1" applyProtection="1">
      <alignment horizontal="left" vertical="center" indent="1"/>
      <protection locked="0"/>
    </xf>
    <xf numFmtId="1" fontId="3" fillId="16" borderId="14" xfId="0" applyNumberFormat="1" applyFont="1" applyFill="1" applyBorder="1" applyAlignment="1" applyProtection="1">
      <alignment horizontal="center"/>
    </xf>
    <xf numFmtId="1" fontId="5" fillId="14" borderId="15" xfId="0" applyNumberFormat="1" applyFont="1" applyFill="1" applyBorder="1" applyAlignment="1" applyProtection="1">
      <alignment horizontal="center"/>
    </xf>
    <xf numFmtId="0" fontId="0" fillId="16" borderId="22" xfId="0" applyFont="1" applyFill="1" applyBorder="1" applyAlignment="1" applyProtection="1">
      <alignment horizontal="center"/>
    </xf>
    <xf numFmtId="0" fontId="0" fillId="11" borderId="37" xfId="0" applyFill="1" applyBorder="1" applyAlignment="1" applyProtection="1">
      <alignment horizontal="center"/>
    </xf>
    <xf numFmtId="0" fontId="0" fillId="11" borderId="9" xfId="0" applyFill="1" applyBorder="1" applyProtection="1"/>
    <xf numFmtId="0" fontId="6" fillId="6" borderId="21" xfId="0" applyFont="1" applyFill="1" applyBorder="1" applyAlignment="1" applyProtection="1">
      <alignment horizontal="center" vertical="center"/>
    </xf>
    <xf numFmtId="0" fontId="6" fillId="6" borderId="22" xfId="0" applyFont="1" applyFill="1" applyBorder="1" applyAlignment="1" applyProtection="1">
      <alignment horizontal="center" vertical="center"/>
    </xf>
    <xf numFmtId="0" fontId="6" fillId="6" borderId="23" xfId="0" applyFont="1" applyFill="1" applyBorder="1" applyAlignment="1" applyProtection="1">
      <alignment horizontal="center" vertical="center"/>
    </xf>
    <xf numFmtId="0" fontId="6" fillId="7" borderId="21" xfId="0" applyFont="1" applyFill="1" applyBorder="1" applyAlignment="1" applyProtection="1">
      <alignment horizontal="center" vertical="center"/>
    </xf>
    <xf numFmtId="0" fontId="6" fillId="7" borderId="22" xfId="0" applyFont="1" applyFill="1" applyBorder="1" applyAlignment="1" applyProtection="1">
      <alignment horizontal="center" vertical="center"/>
    </xf>
    <xf numFmtId="0" fontId="6" fillId="7" borderId="23" xfId="0" applyFont="1" applyFill="1" applyBorder="1" applyAlignment="1" applyProtection="1">
      <alignment horizontal="center" vertical="center"/>
    </xf>
    <xf numFmtId="0" fontId="6" fillId="6" borderId="24" xfId="0" applyFont="1" applyFill="1" applyBorder="1" applyAlignment="1" applyProtection="1">
      <alignment horizontal="center" vertical="center"/>
    </xf>
    <xf numFmtId="0" fontId="6" fillId="6" borderId="25" xfId="0" applyFont="1" applyFill="1" applyBorder="1" applyAlignment="1" applyProtection="1">
      <alignment horizontal="center" vertical="center"/>
    </xf>
    <xf numFmtId="0" fontId="2" fillId="6" borderId="25" xfId="0" applyFont="1" applyFill="1" applyBorder="1" applyAlignment="1" applyProtection="1">
      <alignment horizontal="center"/>
    </xf>
    <xf numFmtId="0" fontId="2" fillId="6" borderId="25" xfId="0" applyFont="1" applyFill="1" applyBorder="1" applyAlignment="1" applyProtection="1"/>
    <xf numFmtId="0" fontId="0" fillId="6" borderId="25" xfId="0" applyFill="1" applyBorder="1" applyAlignment="1" applyProtection="1">
      <alignment horizontal="left"/>
    </xf>
    <xf numFmtId="0" fontId="6" fillId="7" borderId="24" xfId="0" applyFont="1" applyFill="1" applyBorder="1" applyAlignment="1" applyProtection="1">
      <alignment horizontal="center" vertical="center"/>
    </xf>
    <xf numFmtId="0" fontId="6" fillId="7" borderId="25" xfId="0" applyFont="1" applyFill="1" applyBorder="1" applyAlignment="1" applyProtection="1">
      <alignment horizontal="center" vertical="center"/>
    </xf>
    <xf numFmtId="0" fontId="7" fillId="6" borderId="0" xfId="0" applyFont="1" applyFill="1" applyBorder="1" applyAlignment="1" applyProtection="1">
      <alignment horizontal="center" vertical="center"/>
    </xf>
    <xf numFmtId="0" fontId="7" fillId="6" borderId="25" xfId="0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 applyProtection="1">
      <alignment horizontal="center" vertical="center"/>
    </xf>
    <xf numFmtId="0" fontId="7" fillId="7" borderId="22" xfId="0" applyFont="1" applyFill="1" applyBorder="1" applyAlignment="1" applyProtection="1">
      <alignment horizontal="center" vertical="center"/>
    </xf>
    <xf numFmtId="0" fontId="7" fillId="7" borderId="23" xfId="0" applyFont="1" applyFill="1" applyBorder="1" applyAlignment="1" applyProtection="1">
      <alignment horizontal="center" vertical="center"/>
    </xf>
    <xf numFmtId="14" fontId="0" fillId="9" borderId="34" xfId="0" applyNumberFormat="1" applyFill="1" applyBorder="1" applyProtection="1"/>
    <xf numFmtId="20" fontId="0" fillId="6" borderId="0" xfId="0" applyNumberFormat="1" applyFill="1" applyBorder="1" applyProtection="1"/>
    <xf numFmtId="14" fontId="7" fillId="6" borderId="21" xfId="0" applyNumberFormat="1" applyFont="1" applyFill="1" applyBorder="1" applyAlignment="1" applyProtection="1">
      <alignment horizontal="center" vertical="center"/>
    </xf>
    <xf numFmtId="14" fontId="7" fillId="6" borderId="22" xfId="0" applyNumberFormat="1" applyFont="1" applyFill="1" applyBorder="1" applyAlignment="1" applyProtection="1">
      <alignment horizontal="center" vertical="center"/>
    </xf>
    <xf numFmtId="14" fontId="7" fillId="6" borderId="23" xfId="0" applyNumberFormat="1" applyFont="1" applyFill="1" applyBorder="1" applyAlignment="1" applyProtection="1">
      <alignment horizontal="center" vertical="center"/>
    </xf>
    <xf numFmtId="14" fontId="7" fillId="6" borderId="24" xfId="0" applyNumberFormat="1" applyFont="1" applyFill="1" applyBorder="1" applyAlignment="1" applyProtection="1">
      <alignment horizontal="center" vertical="center"/>
    </xf>
    <xf numFmtId="14" fontId="7" fillId="6" borderId="25" xfId="0" applyNumberFormat="1" applyFont="1" applyFill="1" applyBorder="1" applyAlignment="1" applyProtection="1">
      <alignment horizontal="center" vertical="center"/>
    </xf>
    <xf numFmtId="49" fontId="14" fillId="10" borderId="48" xfId="0" applyNumberFormat="1" applyFont="1" applyFill="1" applyBorder="1" applyAlignment="1" applyProtection="1">
      <alignment horizontal="left" vertical="top" wrapText="1"/>
    </xf>
    <xf numFmtId="14" fontId="14" fillId="10" borderId="49" xfId="0" applyNumberFormat="1" applyFont="1" applyFill="1" applyBorder="1" applyAlignment="1" applyProtection="1">
      <alignment horizontal="center" vertical="top"/>
    </xf>
    <xf numFmtId="14" fontId="14" fillId="10" borderId="56" xfId="0" applyNumberFormat="1" applyFont="1" applyFill="1" applyBorder="1" applyAlignment="1" applyProtection="1">
      <alignment horizontal="center" vertical="top"/>
    </xf>
    <xf numFmtId="14" fontId="14" fillId="10" borderId="12" xfId="0" applyNumberFormat="1" applyFont="1" applyFill="1" applyBorder="1" applyAlignment="1" applyProtection="1">
      <alignment horizontal="center" vertical="top"/>
    </xf>
    <xf numFmtId="14" fontId="14" fillId="10" borderId="61" xfId="0" applyNumberFormat="1" applyFont="1" applyFill="1" applyBorder="1" applyAlignment="1" applyProtection="1">
      <alignment horizontal="center" vertical="top"/>
    </xf>
    <xf numFmtId="14" fontId="0" fillId="0" borderId="0" xfId="0" applyNumberFormat="1" applyProtection="1"/>
    <xf numFmtId="49" fontId="14" fillId="10" borderId="50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top"/>
    </xf>
    <xf numFmtId="0" fontId="14" fillId="10" borderId="57" xfId="0" applyNumberFormat="1" applyFont="1" applyFill="1" applyBorder="1" applyAlignment="1" applyProtection="1">
      <alignment horizontal="center" vertical="top"/>
    </xf>
    <xf numFmtId="0" fontId="14" fillId="10" borderId="14" xfId="0" applyNumberFormat="1" applyFont="1" applyFill="1" applyBorder="1" applyAlignment="1" applyProtection="1">
      <alignment horizontal="center" vertical="top"/>
    </xf>
    <xf numFmtId="0" fontId="14" fillId="10" borderId="62" xfId="0" applyNumberFormat="1" applyFont="1" applyFill="1" applyBorder="1" applyAlignment="1" applyProtection="1">
      <alignment horizontal="center" vertical="top"/>
    </xf>
    <xf numFmtId="49" fontId="14" fillId="10" borderId="51" xfId="0" applyNumberFormat="1" applyFont="1" applyFill="1" applyBorder="1" applyAlignment="1" applyProtection="1">
      <alignment horizontal="left" vertical="top" wrapText="1"/>
    </xf>
    <xf numFmtId="0" fontId="14" fillId="10" borderId="38" xfId="0" applyNumberFormat="1" applyFont="1" applyFill="1" applyBorder="1" applyAlignment="1" applyProtection="1">
      <alignment horizontal="center" vertical="center"/>
    </xf>
    <xf numFmtId="0" fontId="14" fillId="10" borderId="62" xfId="0" applyNumberFormat="1" applyFont="1" applyFill="1" applyBorder="1" applyAlignment="1" applyProtection="1">
      <alignment horizontal="center" vertical="center"/>
    </xf>
    <xf numFmtId="49" fontId="14" fillId="10" borderId="52" xfId="0" applyNumberFormat="1" applyFont="1" applyFill="1" applyBorder="1" applyAlignment="1" applyProtection="1">
      <alignment horizontal="left" vertical="top" wrapText="1"/>
    </xf>
    <xf numFmtId="0" fontId="14" fillId="21" borderId="38" xfId="0" applyNumberFormat="1" applyFont="1" applyFill="1" applyBorder="1" applyAlignment="1" applyProtection="1">
      <alignment horizontal="center" vertical="center" wrapText="1"/>
    </xf>
    <xf numFmtId="0" fontId="14" fillId="21" borderId="62" xfId="0" applyNumberFormat="1" applyFont="1" applyFill="1" applyBorder="1" applyAlignment="1" applyProtection="1">
      <alignment horizontal="center" vertical="center" wrapText="1"/>
    </xf>
    <xf numFmtId="0" fontId="0" fillId="0" borderId="14" xfId="0" applyBorder="1" applyProtection="1"/>
    <xf numFmtId="0" fontId="0" fillId="21" borderId="14" xfId="0" applyFill="1" applyBorder="1" applyProtection="1"/>
    <xf numFmtId="0" fontId="0" fillId="18" borderId="14" xfId="0" applyFill="1" applyBorder="1" applyProtection="1"/>
    <xf numFmtId="0" fontId="14" fillId="10" borderId="57" xfId="0" applyNumberFormat="1" applyFont="1" applyFill="1" applyBorder="1" applyAlignment="1" applyProtection="1">
      <alignment horizontal="center" vertical="center"/>
    </xf>
    <xf numFmtId="0" fontId="0" fillId="18" borderId="14" xfId="0" applyFill="1" applyBorder="1" applyAlignment="1" applyProtection="1">
      <alignment wrapText="1"/>
    </xf>
    <xf numFmtId="0" fontId="0" fillId="0" borderId="0" xfId="0" applyBorder="1" applyProtection="1"/>
    <xf numFmtId="0" fontId="0" fillId="6" borderId="14" xfId="0" applyFill="1" applyBorder="1" applyProtection="1"/>
    <xf numFmtId="0" fontId="0" fillId="20" borderId="14" xfId="0" applyFill="1" applyBorder="1" applyAlignment="1" applyProtection="1"/>
    <xf numFmtId="49" fontId="14" fillId="10" borderId="53" xfId="0" applyNumberFormat="1" applyFont="1" applyFill="1" applyBorder="1" applyAlignment="1" applyProtection="1">
      <alignment horizontal="left" vertical="top" wrapText="1"/>
    </xf>
    <xf numFmtId="0" fontId="14" fillId="10" borderId="14" xfId="0" applyNumberFormat="1" applyFont="1" applyFill="1" applyBorder="1" applyAlignment="1" applyProtection="1">
      <alignment horizontal="center" vertical="center"/>
    </xf>
    <xf numFmtId="0" fontId="14" fillId="6" borderId="21" xfId="0" applyNumberFormat="1" applyFont="1" applyFill="1" applyBorder="1" applyAlignment="1" applyProtection="1">
      <alignment horizontal="center" vertical="center"/>
    </xf>
    <xf numFmtId="49" fontId="14" fillId="10" borderId="54" xfId="0" applyNumberFormat="1" applyFont="1" applyFill="1" applyBorder="1" applyAlignment="1" applyProtection="1">
      <alignment horizontal="left" vertical="top" wrapText="1"/>
    </xf>
    <xf numFmtId="0" fontId="14" fillId="21" borderId="55" xfId="0" applyNumberFormat="1" applyFont="1" applyFill="1" applyBorder="1" applyAlignment="1" applyProtection="1">
      <alignment horizontal="center" vertical="center" wrapText="1"/>
    </xf>
    <xf numFmtId="0" fontId="14" fillId="21" borderId="59" xfId="0" applyNumberFormat="1" applyFont="1" applyFill="1" applyBorder="1" applyAlignment="1" applyProtection="1">
      <alignment horizontal="center" vertical="center" wrapText="1"/>
    </xf>
    <xf numFmtId="0" fontId="14" fillId="21" borderId="9" xfId="0" applyNumberFormat="1" applyFont="1" applyFill="1" applyBorder="1" applyAlignment="1" applyProtection="1">
      <alignment horizontal="center" vertical="center" wrapText="1"/>
    </xf>
    <xf numFmtId="0" fontId="14" fillId="6" borderId="0" xfId="0" applyNumberFormat="1" applyFont="1" applyFill="1" applyBorder="1" applyAlignment="1" applyProtection="1">
      <alignment horizontal="center" vertical="center"/>
    </xf>
    <xf numFmtId="49" fontId="14" fillId="6" borderId="0" xfId="0" applyNumberFormat="1" applyFont="1" applyFill="1" applyBorder="1" applyAlignment="1" applyProtection="1">
      <alignment horizontal="left" vertical="top" wrapText="1"/>
    </xf>
    <xf numFmtId="0" fontId="14" fillId="6" borderId="0" xfId="0" applyNumberFormat="1" applyFont="1" applyFill="1" applyBorder="1" applyAlignment="1" applyProtection="1">
      <alignment horizontal="center" vertical="center" wrapText="1"/>
    </xf>
    <xf numFmtId="0" fontId="7" fillId="2" borderId="1" xfId="0" applyFont="1" applyFill="1" applyBorder="1" applyAlignment="1" applyProtection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</xf>
    <xf numFmtId="0" fontId="7" fillId="2" borderId="2" xfId="0" applyFont="1" applyFill="1" applyBorder="1" applyAlignment="1" applyProtection="1">
      <alignment horizontal="center" vertical="center"/>
    </xf>
    <xf numFmtId="0" fontId="8" fillId="8" borderId="0" xfId="0" applyFont="1" applyFill="1" applyBorder="1" applyAlignment="1" applyProtection="1">
      <alignment horizontal="left" vertical="center" wrapText="1"/>
    </xf>
    <xf numFmtId="0" fontId="0" fillId="6" borderId="0" xfId="0" applyFill="1" applyBorder="1" applyAlignment="1" applyProtection="1">
      <alignment horizontal="center"/>
    </xf>
    <xf numFmtId="0" fontId="2" fillId="2" borderId="1" xfId="0" applyFont="1" applyFill="1" applyBorder="1" applyAlignment="1" applyProtection="1">
      <alignment horizontal="center"/>
    </xf>
    <xf numFmtId="0" fontId="0" fillId="0" borderId="10" xfId="0" applyBorder="1"/>
    <xf numFmtId="0" fontId="0" fillId="0" borderId="2" xfId="0" applyBorder="1"/>
    <xf numFmtId="0" fontId="0" fillId="8" borderId="21" xfId="0" applyFill="1" applyBorder="1" applyAlignment="1" applyProtection="1">
      <alignment horizontal="center" vertical="center" wrapText="1"/>
    </xf>
    <xf numFmtId="0" fontId="0" fillId="8" borderId="22" xfId="0" applyFill="1" applyBorder="1" applyAlignment="1" applyProtection="1">
      <alignment horizontal="center" vertical="center" wrapText="1"/>
    </xf>
    <xf numFmtId="0" fontId="0" fillId="8" borderId="23" xfId="0" applyFill="1" applyBorder="1" applyAlignment="1" applyProtection="1">
      <alignment horizontal="center" vertical="center" wrapText="1"/>
    </xf>
    <xf numFmtId="0" fontId="0" fillId="8" borderId="26" xfId="0" applyFill="1" applyBorder="1" applyAlignment="1" applyProtection="1">
      <alignment horizontal="center" vertical="center" wrapText="1"/>
    </xf>
    <xf numFmtId="0" fontId="0" fillId="8" borderId="27" xfId="0" applyFill="1" applyBorder="1" applyAlignment="1" applyProtection="1">
      <alignment horizontal="center" vertical="center" wrapText="1"/>
    </xf>
    <xf numFmtId="0" fontId="0" fillId="8" borderId="28" xfId="0" applyFill="1" applyBorder="1" applyAlignment="1" applyProtection="1">
      <alignment horizontal="center" vertical="center" wrapText="1"/>
    </xf>
    <xf numFmtId="0" fontId="6" fillId="2" borderId="1" xfId="0" applyFont="1" applyFill="1" applyBorder="1" applyAlignment="1" applyProtection="1">
      <alignment horizontal="center" vertical="center"/>
    </xf>
    <xf numFmtId="0" fontId="6" fillId="2" borderId="10" xfId="0" applyFont="1" applyFill="1" applyBorder="1" applyAlignment="1" applyProtection="1">
      <alignment horizontal="center" vertical="center"/>
    </xf>
    <xf numFmtId="0" fontId="6" fillId="2" borderId="2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/>
    </xf>
    <xf numFmtId="0" fontId="2" fillId="2" borderId="10" xfId="0" applyFont="1" applyFill="1" applyBorder="1" applyAlignment="1" applyProtection="1">
      <alignment horizontal="center"/>
    </xf>
    <xf numFmtId="0" fontId="0" fillId="8" borderId="21" xfId="0" applyFill="1" applyBorder="1" applyAlignment="1" applyProtection="1">
      <alignment horizontal="left" vertical="center" wrapText="1" indent="1"/>
    </xf>
    <xf numFmtId="0" fontId="0" fillId="0" borderId="22" xfId="0" applyBorder="1"/>
    <xf numFmtId="0" fontId="0" fillId="0" borderId="23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2" fillId="2" borderId="1" xfId="0" applyFont="1" applyFill="1" applyBorder="1" applyAlignment="1" applyProtection="1">
      <alignment horizontal="center" vertical="center"/>
    </xf>
    <xf numFmtId="0" fontId="2" fillId="2" borderId="10" xfId="0" applyFont="1" applyFill="1" applyBorder="1" applyAlignment="1" applyProtection="1">
      <alignment horizontal="center" vertical="center"/>
    </xf>
    <xf numFmtId="0" fontId="2" fillId="2" borderId="2" xfId="0" applyFont="1" applyFill="1" applyBorder="1" applyAlignment="1" applyProtection="1">
      <alignment horizontal="center" vertical="center"/>
    </xf>
    <xf numFmtId="0" fontId="3" fillId="8" borderId="21" xfId="0" applyFont="1" applyFill="1" applyBorder="1" applyAlignment="1" applyProtection="1">
      <alignment horizontal="left" vertical="center" wrapText="1" indent="1"/>
    </xf>
    <xf numFmtId="0" fontId="3" fillId="8" borderId="22" xfId="0" applyFont="1" applyFill="1" applyBorder="1" applyAlignment="1" applyProtection="1">
      <alignment horizontal="left" vertical="center" wrapText="1" indent="1"/>
    </xf>
    <xf numFmtId="0" fontId="3" fillId="8" borderId="23" xfId="0" applyFont="1" applyFill="1" applyBorder="1" applyAlignment="1" applyProtection="1">
      <alignment horizontal="left" vertical="center" wrapText="1" indent="1"/>
    </xf>
    <xf numFmtId="0" fontId="3" fillId="8" borderId="26" xfId="0" applyFont="1" applyFill="1" applyBorder="1" applyAlignment="1" applyProtection="1">
      <alignment horizontal="left" vertical="center" wrapText="1" indent="1"/>
    </xf>
    <xf numFmtId="0" fontId="3" fillId="8" borderId="27" xfId="0" applyFont="1" applyFill="1" applyBorder="1" applyAlignment="1" applyProtection="1">
      <alignment horizontal="left" vertical="center" wrapText="1" indent="1"/>
    </xf>
    <xf numFmtId="0" fontId="3" fillId="8" borderId="28" xfId="0" applyFont="1" applyFill="1" applyBorder="1" applyAlignment="1" applyProtection="1">
      <alignment horizontal="left" vertical="center" wrapText="1" indent="1"/>
    </xf>
    <xf numFmtId="0" fontId="0" fillId="2" borderId="10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center"/>
    </xf>
    <xf numFmtId="0" fontId="4" fillId="2" borderId="1" xfId="0" applyFont="1" applyFill="1" applyBorder="1" applyAlignment="1" applyProtection="1">
      <alignment horizontal="center"/>
    </xf>
    <xf numFmtId="0" fontId="3" fillId="2" borderId="10" xfId="0" applyFont="1" applyFill="1" applyBorder="1" applyAlignment="1" applyProtection="1">
      <alignment horizontal="center"/>
    </xf>
    <xf numFmtId="0" fontId="3" fillId="2" borderId="2" xfId="0" applyFont="1" applyFill="1" applyBorder="1" applyAlignment="1" applyProtection="1">
      <alignment horizontal="center"/>
    </xf>
    <xf numFmtId="14" fontId="7" fillId="2" borderId="21" xfId="0" applyNumberFormat="1" applyFont="1" applyFill="1" applyBorder="1" applyAlignment="1" applyProtection="1">
      <alignment horizontal="center" vertical="center"/>
    </xf>
    <xf numFmtId="14" fontId="7" fillId="2" borderId="22" xfId="0" applyNumberFormat="1" applyFont="1" applyFill="1" applyBorder="1" applyAlignment="1" applyProtection="1">
      <alignment horizontal="center" vertical="center"/>
    </xf>
    <xf numFmtId="14" fontId="7" fillId="2" borderId="23" xfId="0" applyNumberFormat="1" applyFont="1" applyFill="1" applyBorder="1" applyAlignment="1" applyProtection="1">
      <alignment horizontal="center" vertical="center"/>
    </xf>
    <xf numFmtId="14" fontId="0" fillId="8" borderId="1" xfId="0" applyNumberFormat="1" applyFill="1" applyBorder="1" applyAlignment="1" applyProtection="1">
      <alignment horizontal="left" vertical="center" wrapText="1" indent="3"/>
    </xf>
    <xf numFmtId="14" fontId="7" fillId="8" borderId="10" xfId="0" applyNumberFormat="1" applyFont="1" applyFill="1" applyBorder="1" applyAlignment="1" applyProtection="1">
      <alignment horizontal="left" vertical="center" indent="3"/>
    </xf>
    <xf numFmtId="14" fontId="7" fillId="8" borderId="2" xfId="0" applyNumberFormat="1" applyFont="1" applyFill="1" applyBorder="1" applyAlignment="1" applyProtection="1">
      <alignment horizontal="left" vertical="center" indent="3"/>
    </xf>
    <xf numFmtId="14" fontId="2" fillId="2" borderId="1" xfId="0" applyNumberFormat="1" applyFont="1" applyFill="1" applyBorder="1" applyAlignment="1" applyProtection="1">
      <alignment horizontal="center" vertical="center"/>
    </xf>
    <xf numFmtId="14" fontId="7" fillId="2" borderId="10" xfId="0" applyNumberFormat="1" applyFont="1" applyFill="1" applyBorder="1" applyAlignment="1" applyProtection="1">
      <alignment horizontal="center" vertical="center"/>
    </xf>
    <xf numFmtId="14" fontId="7" fillId="2" borderId="2" xfId="0" applyNumberFormat="1" applyFont="1" applyFill="1" applyBorder="1" applyAlignment="1" applyProtection="1">
      <alignment horizontal="center" vertical="center"/>
    </xf>
    <xf numFmtId="0" fontId="14" fillId="19" borderId="63" xfId="0" applyNumberFormat="1" applyFont="1" applyFill="1" applyBorder="1" applyAlignment="1" applyProtection="1">
      <alignment horizontal="center" vertical="center" wrapText="1"/>
    </xf>
    <xf numFmtId="0" fontId="14" fillId="19" borderId="25" xfId="0" applyNumberFormat="1" applyFont="1" applyFill="1" applyBorder="1" applyAlignment="1" applyProtection="1">
      <alignment horizontal="center" vertical="center" wrapText="1"/>
    </xf>
    <xf numFmtId="0" fontId="14" fillId="19" borderId="64" xfId="0" applyNumberFormat="1" applyFont="1" applyFill="1" applyBorder="1" applyAlignment="1" applyProtection="1">
      <alignment horizontal="center" vertical="center" wrapText="1"/>
    </xf>
    <xf numFmtId="0" fontId="14" fillId="19" borderId="66" xfId="0" applyNumberFormat="1" applyFont="1" applyFill="1" applyBorder="1" applyAlignment="1" applyProtection="1">
      <alignment horizontal="center" vertical="center" wrapText="1"/>
    </xf>
    <xf numFmtId="0" fontId="0" fillId="0" borderId="67" xfId="0" applyBorder="1"/>
    <xf numFmtId="0" fontId="0" fillId="0" borderId="68" xfId="0" applyBorder="1"/>
    <xf numFmtId="0" fontId="14" fillId="19" borderId="44" xfId="0" applyNumberFormat="1" applyFont="1" applyFill="1" applyBorder="1" applyAlignment="1" applyProtection="1">
      <alignment horizontal="center" vertical="center" wrapText="1"/>
    </xf>
    <xf numFmtId="0" fontId="14" fillId="19" borderId="60" xfId="0" applyNumberFormat="1" applyFont="1" applyFill="1" applyBorder="1" applyAlignment="1" applyProtection="1">
      <alignment horizontal="center" vertical="center" wrapText="1"/>
    </xf>
    <xf numFmtId="0" fontId="14" fillId="19" borderId="12" xfId="0" applyNumberFormat="1" applyFont="1" applyFill="1" applyBorder="1" applyAlignment="1" applyProtection="1">
      <alignment horizontal="center" vertical="center" wrapText="1"/>
    </xf>
    <xf numFmtId="0" fontId="14" fillId="18" borderId="39" xfId="0" applyNumberFormat="1" applyFont="1" applyFill="1" applyBorder="1" applyAlignment="1" applyProtection="1">
      <alignment horizontal="center" vertical="center" wrapText="1"/>
    </xf>
    <xf numFmtId="0" fontId="14" fillId="18" borderId="41" xfId="0" applyNumberFormat="1" applyFont="1" applyFill="1" applyBorder="1" applyAlignment="1" applyProtection="1">
      <alignment horizontal="center" vertical="center" wrapText="1"/>
    </xf>
    <xf numFmtId="0" fontId="14" fillId="18" borderId="40" xfId="0" applyNumberFormat="1" applyFont="1" applyFill="1" applyBorder="1" applyAlignment="1" applyProtection="1">
      <alignment horizontal="center" vertical="center" wrapText="1"/>
    </xf>
    <xf numFmtId="0" fontId="14" fillId="18" borderId="45" xfId="0" applyNumberFormat="1" applyFont="1" applyFill="1" applyBorder="1" applyAlignment="1" applyProtection="1">
      <alignment horizontal="center" vertical="center" wrapText="1"/>
    </xf>
    <xf numFmtId="0" fontId="14" fillId="18" borderId="47" xfId="0" applyNumberFormat="1" applyFont="1" applyFill="1" applyBorder="1" applyAlignment="1" applyProtection="1">
      <alignment horizontal="center" vertical="center" wrapText="1"/>
    </xf>
    <xf numFmtId="0" fontId="14" fillId="18" borderId="46" xfId="0" applyNumberFormat="1" applyFont="1" applyFill="1" applyBorder="1" applyAlignment="1" applyProtection="1">
      <alignment horizontal="center" vertical="center" wrapText="1"/>
    </xf>
    <xf numFmtId="0" fontId="14" fillId="19" borderId="28" xfId="0" applyNumberFormat="1" applyFont="1" applyFill="1" applyBorder="1" applyAlignment="1" applyProtection="1">
      <alignment horizontal="center" vertical="center" wrapText="1"/>
    </xf>
    <xf numFmtId="0" fontId="14" fillId="19" borderId="39" xfId="0" applyNumberFormat="1" applyFont="1" applyFill="1" applyBorder="1" applyAlignment="1" applyProtection="1">
      <alignment horizontal="center" vertical="center" wrapText="1"/>
    </xf>
    <xf numFmtId="0" fontId="14" fillId="19" borderId="41" xfId="0" applyNumberFormat="1" applyFont="1" applyFill="1" applyBorder="1" applyAlignment="1" applyProtection="1">
      <alignment horizontal="center" vertical="center" wrapText="1"/>
    </xf>
    <xf numFmtId="0" fontId="14" fillId="19" borderId="40" xfId="0" applyNumberFormat="1" applyFont="1" applyFill="1" applyBorder="1" applyAlignment="1" applyProtection="1">
      <alignment horizontal="center" vertical="center" wrapText="1"/>
    </xf>
    <xf numFmtId="0" fontId="14" fillId="19" borderId="45" xfId="0" applyNumberFormat="1" applyFont="1" applyFill="1" applyBorder="1" applyAlignment="1" applyProtection="1">
      <alignment horizontal="center" vertical="center" wrapText="1"/>
    </xf>
    <xf numFmtId="0" fontId="14" fillId="19" borderId="47" xfId="0" applyNumberFormat="1" applyFont="1" applyFill="1" applyBorder="1" applyAlignment="1" applyProtection="1">
      <alignment horizontal="center" vertical="center" wrapText="1"/>
    </xf>
    <xf numFmtId="0" fontId="14" fillId="19" borderId="46" xfId="0" applyNumberFormat="1" applyFont="1" applyFill="1" applyBorder="1" applyAlignment="1" applyProtection="1">
      <alignment horizontal="center" vertical="center" wrapText="1"/>
    </xf>
    <xf numFmtId="0" fontId="14" fillId="19" borderId="42" xfId="0" applyNumberFormat="1" applyFont="1" applyFill="1" applyBorder="1" applyAlignment="1" applyProtection="1">
      <alignment horizontal="center" vertical="center" wrapText="1"/>
    </xf>
    <xf numFmtId="0" fontId="14" fillId="19" borderId="43" xfId="0" applyNumberFormat="1" applyFont="1" applyFill="1" applyBorder="1" applyAlignment="1" applyProtection="1">
      <alignment horizontal="center" vertical="center" wrapText="1"/>
    </xf>
    <xf numFmtId="0" fontId="14" fillId="19" borderId="58" xfId="0" applyNumberFormat="1" applyFont="1" applyFill="1" applyBorder="1" applyAlignment="1" applyProtection="1">
      <alignment horizontal="center" vertical="center" wrapText="1"/>
    </xf>
    <xf numFmtId="0" fontId="14" fillId="19" borderId="14" xfId="0" applyNumberFormat="1" applyFont="1" applyFill="1" applyBorder="1" applyAlignment="1" applyProtection="1">
      <alignment horizontal="center" vertical="center" wrapText="1"/>
    </xf>
    <xf numFmtId="0" fontId="14" fillId="19" borderId="65" xfId="0" applyNumberFormat="1" applyFont="1" applyFill="1" applyBorder="1" applyAlignment="1" applyProtection="1">
      <alignment horizontal="center" vertical="center" wrapText="1"/>
    </xf>
    <xf numFmtId="0" fontId="14" fillId="18" borderId="14" xfId="0" applyNumberFormat="1" applyFont="1" applyFill="1" applyBorder="1" applyAlignment="1" applyProtection="1">
      <alignment horizontal="center" vertical="center" wrapText="1"/>
    </xf>
    <xf numFmtId="0" fontId="14" fillId="20" borderId="45" xfId="0" applyNumberFormat="1" applyFont="1" applyFill="1" applyBorder="1" applyAlignment="1" applyProtection="1">
      <alignment horizontal="center" vertical="center" wrapText="1"/>
    </xf>
    <xf numFmtId="0" fontId="14" fillId="20" borderId="46" xfId="0" applyNumberFormat="1" applyFont="1" applyFill="1" applyBorder="1" applyAlignment="1" applyProtection="1">
      <alignment horizontal="center" vertical="center" wrapText="1"/>
    </xf>
    <xf numFmtId="0" fontId="14" fillId="20" borderId="42" xfId="0" applyNumberFormat="1" applyFont="1" applyFill="1" applyBorder="1" applyAlignment="1" applyProtection="1">
      <alignment horizontal="center" vertical="center" wrapText="1"/>
    </xf>
    <xf numFmtId="0" fontId="14" fillId="20" borderId="43" xfId="0" applyNumberFormat="1" applyFont="1" applyFill="1" applyBorder="1" applyAlignment="1" applyProtection="1">
      <alignment horizontal="center" vertical="center" wrapText="1"/>
    </xf>
    <xf numFmtId="0" fontId="14" fillId="20" borderId="58" xfId="0" applyNumberFormat="1" applyFont="1" applyFill="1" applyBorder="1" applyAlignment="1" applyProtection="1">
      <alignment horizontal="center" vertical="center" wrapText="1"/>
    </xf>
    <xf numFmtId="0" fontId="14" fillId="20" borderId="14" xfId="0" applyNumberFormat="1" applyFont="1" applyFill="1" applyBorder="1" applyAlignment="1" applyProtection="1">
      <alignment horizontal="center" vertical="center" wrapText="1"/>
    </xf>
    <xf numFmtId="0" fontId="13" fillId="8" borderId="0" xfId="0" applyFont="1" applyFill="1" applyBorder="1" applyAlignment="1" applyProtection="1">
      <alignment horizontal="center" vertical="top" wrapText="1"/>
    </xf>
    <xf numFmtId="0" fontId="12" fillId="8" borderId="0" xfId="0" applyFont="1" applyFill="1" applyBorder="1" applyAlignment="1" applyProtection="1">
      <alignment horizontal="left" vertical="center" wrapText="1"/>
    </xf>
    <xf numFmtId="0" fontId="8" fillId="8" borderId="0" xfId="0" applyFont="1" applyFill="1" applyBorder="1" applyAlignment="1" applyProtection="1">
      <alignment horizontal="center" vertical="center" wrapText="1"/>
    </xf>
    <xf numFmtId="0" fontId="0" fillId="8" borderId="0" xfId="0" applyFill="1" applyBorder="1" applyAlignment="1">
      <alignment horizontal="left" vertical="center" wrapText="1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Light16"/>
  <colors>
    <mruColors>
      <color rgb="FFF6C47A"/>
      <color rgb="FFF9F6B5"/>
      <color rgb="FFF5EF7F"/>
      <color rgb="FFB4CBFA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Schedule!D13"/><Relationship Id="rId2" Type="http://schemas.openxmlformats.org/officeDocument/2006/relationships/hyperlink" Target="#Setup!E11"/><Relationship Id="rId3" Type="http://schemas.openxmlformats.org/officeDocument/2006/relationships/hyperlink" Target="#Help!E6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Relationship Id="rId2" Type="http://schemas.openxmlformats.org/officeDocument/2006/relationships/hyperlink" Target="#Schedule!D13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Relationship Id="rId2" Type="http://schemas.openxmlformats.org/officeDocument/2006/relationships/hyperlink" Target="#Weekly!C7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Schedule!D13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ain!G17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173990</xdr:colOff>
      <xdr:row>16</xdr:row>
      <xdr:rowOff>142240</xdr:rowOff>
    </xdr:from>
    <xdr:ext cx="1684020" cy="443865"/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6239510" y="3505200"/>
          <a:ext cx="1684020" cy="443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My Schedule</a:t>
          </a:r>
        </a:p>
      </xdr:txBody>
    </xdr:sp>
    <xdr:clientData/>
  </xdr:oneCellAnchor>
  <xdr:oneCellAnchor>
    <xdr:from>
      <xdr:col>3</xdr:col>
      <xdr:colOff>173990</xdr:colOff>
      <xdr:row>16</xdr:row>
      <xdr:rowOff>142240</xdr:rowOff>
    </xdr:from>
    <xdr:ext cx="1684020" cy="443865"/>
    <xdr:sp macro="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6239510" y="3505200"/>
          <a:ext cx="1684020" cy="443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Setup</a:t>
          </a:r>
        </a:p>
      </xdr:txBody>
    </xdr:sp>
    <xdr:clientData/>
  </xdr:oneCellAnchor>
  <xdr:oneCellAnchor>
    <xdr:from>
      <xdr:col>9</xdr:col>
      <xdr:colOff>173990</xdr:colOff>
      <xdr:row>16</xdr:row>
      <xdr:rowOff>142240</xdr:rowOff>
    </xdr:from>
    <xdr:ext cx="1684020" cy="443865"/>
    <xdr:sp macro="" textlink="">
      <xdr:nvSpPr>
        <xdr:cNvPr id="7" name="Rounded Rectangle 6">
          <a:hlinkClick xmlns:r="http://schemas.openxmlformats.org/officeDocument/2006/relationships" r:id="rId3"/>
        </xdr:cNvPr>
        <xdr:cNvSpPr/>
      </xdr:nvSpPr>
      <xdr:spPr>
        <a:xfrm>
          <a:off x="6239510" y="3505200"/>
          <a:ext cx="1684020" cy="44386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800" b="1" baseline="0"/>
            <a:t>Help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333375</xdr:colOff>
      <xdr:row>1</xdr:row>
      <xdr:rowOff>47625</xdr:rowOff>
    </xdr:from>
    <xdr:to>
      <xdr:col>4</xdr:col>
      <xdr:colOff>628650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9716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  <xdr:twoCellAnchor>
    <xdr:from>
      <xdr:col>21</xdr:col>
      <xdr:colOff>66675</xdr:colOff>
      <xdr:row>1</xdr:row>
      <xdr:rowOff>47625</xdr:rowOff>
    </xdr:from>
    <xdr:to>
      <xdr:col>21</xdr:col>
      <xdr:colOff>971550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9515475" y="247650"/>
          <a:ext cx="904875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Schedule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16</xdr:row>
          <xdr:rowOff>88900</xdr:rowOff>
        </xdr:from>
        <xdr:to>
          <xdr:col>16</xdr:col>
          <xdr:colOff>431800</xdr:colOff>
          <xdr:row>17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276226</xdr:colOff>
      <xdr:row>1</xdr:row>
      <xdr:rowOff>47625</xdr:rowOff>
    </xdr:from>
    <xdr:to>
      <xdr:col>3</xdr:col>
      <xdr:colOff>1228726</xdr:colOff>
      <xdr:row>1</xdr:row>
      <xdr:rowOff>323850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3714751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Main</a:t>
          </a:r>
          <a:r>
            <a:rPr lang="en-US" sz="1100" b="1" baseline="0"/>
            <a:t> Menu</a:t>
          </a:r>
          <a:endParaRPr lang="en-US" sz="1100" b="1"/>
        </a:p>
      </xdr:txBody>
    </xdr:sp>
    <xdr:clientData/>
  </xdr:twoCellAnchor>
  <xdr:twoCellAnchor>
    <xdr:from>
      <xdr:col>9</xdr:col>
      <xdr:colOff>9524</xdr:colOff>
      <xdr:row>1</xdr:row>
      <xdr:rowOff>47625</xdr:rowOff>
    </xdr:from>
    <xdr:to>
      <xdr:col>10</xdr:col>
      <xdr:colOff>352425</xdr:colOff>
      <xdr:row>1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515224" y="552450"/>
          <a:ext cx="1352551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Week</a:t>
          </a:r>
          <a:r>
            <a:rPr lang="en-US" sz="1100" b="1" baseline="0"/>
            <a:t> Overview</a:t>
          </a:r>
          <a:endParaRPr lang="en-US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990600</xdr:colOff>
          <xdr:row>11</xdr:row>
          <xdr:rowOff>78740</xdr:rowOff>
        </xdr:from>
        <xdr:to>
          <xdr:col>3</xdr:col>
          <xdr:colOff>1333500</xdr:colOff>
          <xdr:row>12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990600</xdr:colOff>
          <xdr:row>12</xdr:row>
          <xdr:rowOff>104140</xdr:rowOff>
        </xdr:from>
        <xdr:to>
          <xdr:col>3</xdr:col>
          <xdr:colOff>1333500</xdr:colOff>
          <xdr:row>13</xdr:row>
          <xdr:rowOff>116840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1346200</xdr:colOff>
          <xdr:row>11</xdr:row>
          <xdr:rowOff>78740</xdr:rowOff>
        </xdr:from>
        <xdr:to>
          <xdr:col>3</xdr:col>
          <xdr:colOff>1676400</xdr:colOff>
          <xdr:row>12</xdr:row>
          <xdr:rowOff>91440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1356360</xdr:colOff>
          <xdr:row>12</xdr:row>
          <xdr:rowOff>114300</xdr:rowOff>
        </xdr:from>
        <xdr:to>
          <xdr:col>3</xdr:col>
          <xdr:colOff>1686560</xdr:colOff>
          <xdr:row>13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14</xdr:row>
          <xdr:rowOff>101600</xdr:rowOff>
        </xdr:from>
        <xdr:to>
          <xdr:col>4</xdr:col>
          <xdr:colOff>0</xdr:colOff>
          <xdr:row>15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Use Today's 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47625</xdr:rowOff>
    </xdr:from>
    <xdr:to>
      <xdr:col>3</xdr:col>
      <xdr:colOff>428625</xdr:colOff>
      <xdr:row>1</xdr:row>
      <xdr:rowOff>323850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2857500" y="552450"/>
          <a:ext cx="952500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66676</xdr:colOff>
      <xdr:row>2</xdr:row>
      <xdr:rowOff>47625</xdr:rowOff>
    </xdr:from>
    <xdr:to>
      <xdr:col>4</xdr:col>
      <xdr:colOff>533400</xdr:colOff>
      <xdr:row>2</xdr:row>
      <xdr:rowOff>323850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3638551" y="552450"/>
          <a:ext cx="1076324" cy="2762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/>
            <a:t>Main 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4" Type="http://schemas.openxmlformats.org/officeDocument/2006/relationships/ctrlProp" Target="../ctrlProps/ctrlProp3.xml"/><Relationship Id="rId5" Type="http://schemas.openxmlformats.org/officeDocument/2006/relationships/ctrlProp" Target="../ctrlProps/ctrlProp4.xml"/><Relationship Id="rId6" Type="http://schemas.openxmlformats.org/officeDocument/2006/relationships/ctrlProp" Target="../ctrlProps/ctrlProp5.xml"/><Relationship Id="rId7" Type="http://schemas.openxmlformats.org/officeDocument/2006/relationships/ctrlProp" Target="../ctrlProps/ctrlProp6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C2:M22"/>
  <sheetViews>
    <sheetView showGridLines="0" tabSelected="1" zoomScale="125" zoomScaleNormal="125" zoomScalePageLayoutView="125" workbookViewId="0">
      <selection activeCell="G17" sqref="G17:I20"/>
    </sheetView>
  </sheetViews>
  <sheetFormatPr baseColWidth="10" defaultColWidth="8.83203125" defaultRowHeight="14" x14ac:dyDescent="0"/>
  <cols>
    <col min="1" max="1" width="8.6640625" style="55" customWidth="1"/>
    <col min="2" max="2" width="35.6640625" style="55" customWidth="1"/>
    <col min="3" max="16384" width="8.83203125" style="55"/>
  </cols>
  <sheetData>
    <row r="2" spans="3:13" ht="25" customHeight="1" thickBot="1"/>
    <row r="3" spans="3:13" ht="30" customHeight="1" thickBot="1">
      <c r="C3" s="243" t="s">
        <v>61</v>
      </c>
      <c r="D3" s="244"/>
      <c r="E3" s="244"/>
      <c r="F3" s="244"/>
      <c r="G3" s="244"/>
      <c r="H3" s="244"/>
      <c r="I3" s="244"/>
      <c r="J3" s="244"/>
      <c r="K3" s="244"/>
      <c r="L3" s="244"/>
      <c r="M3" s="245"/>
    </row>
    <row r="4" spans="3:13" ht="1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15.75" customHeight="1">
      <c r="C6" s="58"/>
      <c r="D6" s="82"/>
      <c r="E6" s="246" t="s">
        <v>77</v>
      </c>
      <c r="F6" s="246"/>
      <c r="G6" s="246"/>
      <c r="H6" s="246"/>
      <c r="I6" s="246"/>
      <c r="J6" s="246"/>
      <c r="K6" s="246"/>
      <c r="L6" s="83"/>
      <c r="M6" s="59"/>
    </row>
    <row r="7" spans="3:13" ht="15" customHeight="1">
      <c r="C7" s="58"/>
      <c r="D7" s="82"/>
      <c r="E7" s="246"/>
      <c r="F7" s="246"/>
      <c r="G7" s="246"/>
      <c r="H7" s="246"/>
      <c r="I7" s="246"/>
      <c r="J7" s="246"/>
      <c r="K7" s="246"/>
      <c r="L7" s="83"/>
      <c r="M7" s="59"/>
    </row>
    <row r="8" spans="3:13" ht="15" customHeight="1">
      <c r="C8" s="58"/>
      <c r="D8" s="82"/>
      <c r="E8" s="246"/>
      <c r="F8" s="246"/>
      <c r="G8" s="246"/>
      <c r="H8" s="246"/>
      <c r="I8" s="246"/>
      <c r="J8" s="246"/>
      <c r="K8" s="246"/>
      <c r="L8" s="83"/>
      <c r="M8" s="59"/>
    </row>
    <row r="9" spans="3:13" ht="15" customHeight="1">
      <c r="C9" s="58"/>
      <c r="D9" s="82"/>
      <c r="E9" s="246"/>
      <c r="F9" s="246"/>
      <c r="G9" s="246"/>
      <c r="H9" s="246"/>
      <c r="I9" s="246"/>
      <c r="J9" s="246"/>
      <c r="K9" s="246"/>
      <c r="L9" s="83"/>
      <c r="M9" s="59"/>
    </row>
    <row r="10" spans="3:13" ht="15" customHeight="1">
      <c r="C10" s="58"/>
      <c r="D10" s="82"/>
      <c r="E10" s="246"/>
      <c r="F10" s="246"/>
      <c r="G10" s="246"/>
      <c r="H10" s="246"/>
      <c r="I10" s="246"/>
      <c r="J10" s="246"/>
      <c r="K10" s="246"/>
      <c r="L10" s="83"/>
      <c r="M10" s="59"/>
    </row>
    <row r="11" spans="3:13" ht="15" customHeight="1">
      <c r="C11" s="58"/>
      <c r="D11" s="82"/>
      <c r="E11" s="246"/>
      <c r="F11" s="246"/>
      <c r="G11" s="246"/>
      <c r="H11" s="246"/>
      <c r="I11" s="246"/>
      <c r="J11" s="246"/>
      <c r="K11" s="246"/>
      <c r="L11" s="83"/>
      <c r="M11" s="59"/>
    </row>
    <row r="12" spans="3:13" ht="15" customHeight="1">
      <c r="C12" s="58"/>
      <c r="D12" s="82"/>
      <c r="E12" s="246"/>
      <c r="F12" s="246"/>
      <c r="G12" s="246"/>
      <c r="H12" s="246"/>
      <c r="I12" s="246"/>
      <c r="J12" s="246"/>
      <c r="K12" s="246"/>
      <c r="L12" s="83"/>
      <c r="M12" s="59"/>
    </row>
    <row r="13" spans="3:13" ht="15" customHeight="1">
      <c r="C13" s="58"/>
      <c r="D13" s="82"/>
      <c r="E13" s="246"/>
      <c r="F13" s="246"/>
      <c r="G13" s="246"/>
      <c r="H13" s="246"/>
      <c r="I13" s="246"/>
      <c r="J13" s="246"/>
      <c r="K13" s="246"/>
      <c r="L13" s="83"/>
      <c r="M13" s="59"/>
    </row>
    <row r="14" spans="3:13">
      <c r="C14" s="58"/>
      <c r="D14" s="82"/>
      <c r="E14" s="246"/>
      <c r="F14" s="246"/>
      <c r="G14" s="246"/>
      <c r="H14" s="246"/>
      <c r="I14" s="246"/>
      <c r="J14" s="246"/>
      <c r="K14" s="246"/>
      <c r="L14" s="83"/>
      <c r="M14" s="59"/>
    </row>
    <row r="15" spans="3:13" ht="15" thickBot="1">
      <c r="C15" s="58"/>
      <c r="D15" s="84"/>
      <c r="E15" s="85"/>
      <c r="F15" s="85"/>
      <c r="G15" s="85"/>
      <c r="H15" s="85"/>
      <c r="I15" s="85"/>
      <c r="J15" s="85"/>
      <c r="K15" s="85"/>
      <c r="L15" s="86"/>
      <c r="M15" s="59"/>
    </row>
    <row r="16" spans="3:13">
      <c r="C16" s="58"/>
      <c r="D16" s="27"/>
      <c r="E16" s="27"/>
      <c r="F16" s="27"/>
      <c r="G16" s="27"/>
      <c r="H16" s="27"/>
      <c r="I16" s="27"/>
      <c r="J16" s="27"/>
      <c r="K16" s="27"/>
      <c r="L16" s="27"/>
      <c r="M16" s="59"/>
    </row>
    <row r="17" spans="3:13">
      <c r="C17" s="58"/>
      <c r="D17" s="247"/>
      <c r="E17" s="247"/>
      <c r="F17" s="247"/>
      <c r="G17" s="247"/>
      <c r="H17" s="247"/>
      <c r="I17" s="247"/>
      <c r="J17" s="247"/>
      <c r="K17" s="247"/>
      <c r="L17" s="247"/>
      <c r="M17" s="59"/>
    </row>
    <row r="18" spans="3:13">
      <c r="C18" s="58"/>
      <c r="D18" s="247"/>
      <c r="E18" s="247"/>
      <c r="F18" s="247"/>
      <c r="G18" s="247"/>
      <c r="H18" s="247"/>
      <c r="I18" s="247"/>
      <c r="J18" s="247"/>
      <c r="K18" s="247"/>
      <c r="L18" s="247"/>
      <c r="M18" s="59"/>
    </row>
    <row r="19" spans="3:13">
      <c r="C19" s="58"/>
      <c r="D19" s="247"/>
      <c r="E19" s="247"/>
      <c r="F19" s="247"/>
      <c r="G19" s="247"/>
      <c r="H19" s="247"/>
      <c r="I19" s="247"/>
      <c r="J19" s="247"/>
      <c r="K19" s="247"/>
      <c r="L19" s="247"/>
      <c r="M19" s="59"/>
    </row>
    <row r="20" spans="3:13">
      <c r="C20" s="58"/>
      <c r="D20" s="247"/>
      <c r="E20" s="247"/>
      <c r="F20" s="247"/>
      <c r="G20" s="247"/>
      <c r="H20" s="247"/>
      <c r="I20" s="247"/>
      <c r="J20" s="247"/>
      <c r="K20" s="247"/>
      <c r="L20" s="247"/>
      <c r="M20" s="59"/>
    </row>
    <row r="21" spans="3:13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 ht="15" thickBot="1">
      <c r="C22" s="64"/>
      <c r="D22" s="28"/>
      <c r="E22" s="28"/>
      <c r="F22" s="28"/>
      <c r="G22" s="28"/>
      <c r="H22" s="28"/>
      <c r="I22" s="28"/>
      <c r="J22" s="28"/>
      <c r="K22" s="28"/>
      <c r="L22" s="28"/>
      <c r="M22" s="65"/>
    </row>
  </sheetData>
  <mergeCells count="5">
    <mergeCell ref="C3:M3"/>
    <mergeCell ref="E6:K14"/>
    <mergeCell ref="D17:F20"/>
    <mergeCell ref="G17:I20"/>
    <mergeCell ref="J17:L20"/>
  </mergeCells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BN197"/>
  <sheetViews>
    <sheetView showGridLines="0" zoomScale="125" zoomScaleNormal="125" zoomScalePageLayoutView="125" workbookViewId="0">
      <selection activeCell="E11" sqref="E11"/>
    </sheetView>
  </sheetViews>
  <sheetFormatPr baseColWidth="10" defaultColWidth="8.83203125" defaultRowHeight="14" x14ac:dyDescent="0"/>
  <cols>
    <col min="1" max="1" width="7.6640625" style="54" customWidth="1"/>
    <col min="2" max="2" width="4.6640625" style="70" customWidth="1"/>
    <col min="3" max="3" width="10.6640625" style="70" customWidth="1"/>
    <col min="4" max="4" width="8.83203125" style="70"/>
    <col min="5" max="5" width="14.1640625" style="70" customWidth="1"/>
    <col min="6" max="6" width="10.6640625" style="70" customWidth="1"/>
    <col min="7" max="7" width="4.6640625" style="70" customWidth="1"/>
    <col min="8" max="9" width="4.6640625" style="63" customWidth="1"/>
    <col min="10" max="10" width="8.83203125" style="63"/>
    <col min="11" max="17" width="5.6640625" style="63" customWidth="1"/>
    <col min="18" max="18" width="4.6640625" style="71" customWidth="1"/>
    <col min="19" max="19" width="4.6640625" style="63" customWidth="1"/>
    <col min="20" max="20" width="4.6640625" style="70" customWidth="1"/>
    <col min="21" max="21" width="12.6640625" style="70" customWidth="1"/>
    <col min="22" max="22" width="15.83203125" style="70" customWidth="1"/>
    <col min="23" max="23" width="12.6640625" style="70" customWidth="1"/>
    <col min="24" max="24" width="4.6640625" style="70" customWidth="1"/>
    <col min="25" max="66" width="8.83203125" style="54"/>
    <col min="67" max="16384" width="8.83203125" style="55"/>
  </cols>
  <sheetData>
    <row r="1" spans="2:24" s="53" customFormat="1" ht="15" thickBot="1"/>
    <row r="2" spans="2:24" s="54" customFormat="1" ht="30" customHeight="1" thickBot="1">
      <c r="B2" s="257" t="s">
        <v>76</v>
      </c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9"/>
    </row>
    <row r="3" spans="2:24" s="54" customFormat="1" ht="30" customHeight="1" thickBot="1">
      <c r="B3" s="183"/>
      <c r="C3" s="184"/>
      <c r="D3" s="184"/>
      <c r="E3" s="184"/>
      <c r="F3" s="184"/>
      <c r="G3" s="185"/>
      <c r="H3" s="186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8"/>
      <c r="T3" s="183"/>
      <c r="U3" s="184"/>
      <c r="V3" s="184"/>
      <c r="W3" s="184"/>
      <c r="X3" s="185"/>
    </row>
    <row r="4" spans="2:24" s="54" customFormat="1" ht="15" customHeight="1" thickBot="1">
      <c r="B4" s="189"/>
      <c r="C4" s="268" t="s">
        <v>83</v>
      </c>
      <c r="D4" s="269"/>
      <c r="E4" s="269"/>
      <c r="F4" s="270"/>
      <c r="G4" s="190"/>
      <c r="H4" s="194"/>
      <c r="I4" s="268" t="s">
        <v>84</v>
      </c>
      <c r="J4" s="258"/>
      <c r="K4" s="258"/>
      <c r="L4" s="258"/>
      <c r="M4" s="258"/>
      <c r="N4" s="258"/>
      <c r="O4" s="258"/>
      <c r="P4" s="258"/>
      <c r="Q4" s="258"/>
      <c r="R4" s="259"/>
      <c r="S4" s="195"/>
      <c r="T4" s="189"/>
      <c r="U4" s="268" t="s">
        <v>85</v>
      </c>
      <c r="V4" s="269"/>
      <c r="W4" s="270"/>
      <c r="X4" s="190"/>
    </row>
    <row r="5" spans="2:24" ht="30" customHeight="1">
      <c r="B5" s="56"/>
      <c r="C5" s="251" t="s">
        <v>88</v>
      </c>
      <c r="D5" s="252"/>
      <c r="E5" s="252"/>
      <c r="F5" s="253"/>
      <c r="G5" s="22"/>
      <c r="H5" s="57"/>
      <c r="I5" s="262" t="s">
        <v>89</v>
      </c>
      <c r="J5" s="263"/>
      <c r="K5" s="263"/>
      <c r="L5" s="263"/>
      <c r="M5" s="263"/>
      <c r="N5" s="263"/>
      <c r="O5" s="263"/>
      <c r="P5" s="263"/>
      <c r="Q5" s="263"/>
      <c r="R5" s="264"/>
      <c r="S5" s="39"/>
      <c r="T5" s="56"/>
      <c r="U5" s="251" t="s">
        <v>90</v>
      </c>
      <c r="V5" s="252"/>
      <c r="W5" s="253"/>
      <c r="X5" s="22"/>
    </row>
    <row r="6" spans="2:24" ht="30" customHeight="1" thickBot="1">
      <c r="B6" s="56"/>
      <c r="C6" s="254"/>
      <c r="D6" s="255"/>
      <c r="E6" s="255"/>
      <c r="F6" s="256"/>
      <c r="G6" s="22"/>
      <c r="H6" s="57"/>
      <c r="I6" s="265"/>
      <c r="J6" s="266"/>
      <c r="K6" s="266"/>
      <c r="L6" s="266"/>
      <c r="M6" s="266"/>
      <c r="N6" s="266"/>
      <c r="O6" s="266"/>
      <c r="P6" s="266"/>
      <c r="Q6" s="266"/>
      <c r="R6" s="267"/>
      <c r="S6" s="39"/>
      <c r="T6" s="56"/>
      <c r="U6" s="254"/>
      <c r="V6" s="255"/>
      <c r="W6" s="256"/>
      <c r="X6" s="22"/>
    </row>
    <row r="7" spans="2:24" ht="15" thickBot="1">
      <c r="B7" s="58"/>
      <c r="C7" s="20"/>
      <c r="D7" s="20"/>
      <c r="E7" s="20"/>
      <c r="F7" s="20"/>
      <c r="G7" s="59"/>
      <c r="H7" s="60"/>
      <c r="I7" s="21"/>
      <c r="J7" s="21"/>
      <c r="K7" s="21"/>
      <c r="L7" s="21"/>
      <c r="M7" s="21"/>
      <c r="N7" s="21"/>
      <c r="O7" s="21"/>
      <c r="P7" s="21"/>
      <c r="Q7" s="21"/>
      <c r="R7" s="29"/>
      <c r="S7" s="25"/>
      <c r="T7" s="58"/>
      <c r="U7" s="27"/>
      <c r="V7" s="27"/>
      <c r="W7" s="27"/>
      <c r="X7" s="59"/>
    </row>
    <row r="8" spans="2:24" ht="15" thickBot="1">
      <c r="B8" s="58"/>
      <c r="C8" s="27"/>
      <c r="D8" s="248" t="s">
        <v>0</v>
      </c>
      <c r="E8" s="260"/>
      <c r="F8" s="17"/>
      <c r="G8" s="191"/>
      <c r="H8" s="60"/>
      <c r="I8" s="21"/>
      <c r="J8" s="248" t="s">
        <v>75</v>
      </c>
      <c r="K8" s="261"/>
      <c r="L8" s="261"/>
      <c r="M8" s="261"/>
      <c r="N8" s="261"/>
      <c r="O8" s="261"/>
      <c r="P8" s="261"/>
      <c r="Q8" s="260"/>
      <c r="R8" s="30"/>
      <c r="S8" s="23"/>
      <c r="T8" s="58"/>
      <c r="U8" s="27"/>
      <c r="V8" s="4" t="s">
        <v>25</v>
      </c>
      <c r="W8" s="17"/>
      <c r="X8" s="59"/>
    </row>
    <row r="9" spans="2:24" ht="15" thickBot="1">
      <c r="B9" s="58"/>
      <c r="C9" s="27"/>
      <c r="D9" s="108" t="s">
        <v>1</v>
      </c>
      <c r="E9" s="109" t="s">
        <v>2</v>
      </c>
      <c r="F9" s="18"/>
      <c r="G9" s="192"/>
      <c r="H9" s="60"/>
      <c r="I9" s="21"/>
      <c r="J9" s="158" t="s">
        <v>1</v>
      </c>
      <c r="K9" s="159" t="s">
        <v>18</v>
      </c>
      <c r="L9" s="159" t="s">
        <v>19</v>
      </c>
      <c r="M9" s="159" t="s">
        <v>20</v>
      </c>
      <c r="N9" s="159" t="s">
        <v>21</v>
      </c>
      <c r="O9" s="159" t="s">
        <v>22</v>
      </c>
      <c r="P9" s="159" t="s">
        <v>23</v>
      </c>
      <c r="Q9" s="160" t="s">
        <v>24</v>
      </c>
      <c r="R9" s="30"/>
      <c r="S9" s="23"/>
      <c r="T9" s="58"/>
      <c r="U9" s="27"/>
      <c r="V9" s="113" t="s">
        <v>60</v>
      </c>
      <c r="W9" s="17"/>
      <c r="X9" s="59"/>
    </row>
    <row r="10" spans="2:24">
      <c r="B10" s="58"/>
      <c r="C10" s="27"/>
      <c r="D10" s="97">
        <v>0</v>
      </c>
      <c r="E10" s="110" t="s">
        <v>3</v>
      </c>
      <c r="F10" s="19"/>
      <c r="G10" s="193"/>
      <c r="H10" s="60"/>
      <c r="I10" s="21"/>
      <c r="J10" s="161">
        <v>1</v>
      </c>
      <c r="K10" s="154"/>
      <c r="L10" s="154"/>
      <c r="M10" s="102"/>
      <c r="N10" s="154"/>
      <c r="O10" s="102"/>
      <c r="P10" s="154"/>
      <c r="Q10" s="103"/>
      <c r="R10" s="31"/>
      <c r="S10" s="24"/>
      <c r="T10" s="58"/>
      <c r="U10" s="27"/>
      <c r="V10" s="174"/>
      <c r="W10" s="62"/>
      <c r="X10" s="59"/>
    </row>
    <row r="11" spans="2:24">
      <c r="B11" s="58"/>
      <c r="C11" s="27"/>
      <c r="D11" s="97">
        <v>1</v>
      </c>
      <c r="E11" s="98" t="s">
        <v>4</v>
      </c>
      <c r="F11" s="20"/>
      <c r="G11" s="22"/>
      <c r="H11" s="60"/>
      <c r="I11" s="21"/>
      <c r="J11" s="161">
        <f>J10+1</f>
        <v>2</v>
      </c>
      <c r="K11" s="154"/>
      <c r="L11" s="102"/>
      <c r="M11" s="154"/>
      <c r="N11" s="154"/>
      <c r="O11" s="102"/>
      <c r="P11" s="154"/>
      <c r="Q11" s="103"/>
      <c r="R11" s="31"/>
      <c r="S11" s="24"/>
      <c r="T11" s="58"/>
      <c r="U11" s="27"/>
      <c r="V11" s="175"/>
      <c r="W11" s="62"/>
      <c r="X11" s="59"/>
    </row>
    <row r="12" spans="2:24">
      <c r="B12" s="58"/>
      <c r="C12" s="27"/>
      <c r="D12" s="97">
        <f>D11+1</f>
        <v>2</v>
      </c>
      <c r="E12" s="98" t="s">
        <v>5</v>
      </c>
      <c r="F12" s="20"/>
      <c r="G12" s="22"/>
      <c r="H12" s="60"/>
      <c r="I12" s="21"/>
      <c r="J12" s="161">
        <f t="shared" ref="J12:J16" si="0">J11+1</f>
        <v>3</v>
      </c>
      <c r="K12" s="154"/>
      <c r="L12" s="102"/>
      <c r="M12" s="154"/>
      <c r="N12" s="102"/>
      <c r="O12" s="154"/>
      <c r="P12" s="154"/>
      <c r="Q12" s="103"/>
      <c r="R12" s="31"/>
      <c r="S12" s="24"/>
      <c r="T12" s="58"/>
      <c r="U12" s="27"/>
      <c r="V12" s="175"/>
      <c r="W12" s="62"/>
      <c r="X12" s="59"/>
    </row>
    <row r="13" spans="2:24">
      <c r="B13" s="58"/>
      <c r="C13" s="27"/>
      <c r="D13" s="97">
        <f t="shared" ref="D13:D26" si="1">D12+1</f>
        <v>3</v>
      </c>
      <c r="E13" s="98" t="s">
        <v>6</v>
      </c>
      <c r="F13" s="20"/>
      <c r="G13" s="22"/>
      <c r="H13" s="60"/>
      <c r="I13" s="21"/>
      <c r="J13" s="161">
        <f t="shared" si="0"/>
        <v>4</v>
      </c>
      <c r="K13" s="154"/>
      <c r="L13" s="102"/>
      <c r="M13" s="154"/>
      <c r="N13" s="102"/>
      <c r="O13" s="154"/>
      <c r="P13" s="102"/>
      <c r="Q13" s="155"/>
      <c r="R13" s="31"/>
      <c r="S13" s="24"/>
      <c r="T13" s="58"/>
      <c r="U13" s="27"/>
      <c r="V13" s="175"/>
      <c r="W13" s="62"/>
      <c r="X13" s="59"/>
    </row>
    <row r="14" spans="2:24">
      <c r="B14" s="58"/>
      <c r="C14" s="27"/>
      <c r="D14" s="97">
        <f t="shared" si="1"/>
        <v>4</v>
      </c>
      <c r="E14" s="98" t="s">
        <v>7</v>
      </c>
      <c r="F14" s="20"/>
      <c r="G14" s="22"/>
      <c r="H14" s="60"/>
      <c r="I14" s="21"/>
      <c r="J14" s="161">
        <f t="shared" si="0"/>
        <v>5</v>
      </c>
      <c r="K14" s="102"/>
      <c r="L14" s="154"/>
      <c r="M14" s="154"/>
      <c r="N14" s="102"/>
      <c r="O14" s="154"/>
      <c r="P14" s="102"/>
      <c r="Q14" s="155"/>
      <c r="R14" s="29"/>
      <c r="S14" s="25"/>
      <c r="T14" s="58"/>
      <c r="U14" s="27"/>
      <c r="V14" s="175"/>
      <c r="W14" s="62"/>
      <c r="X14" s="59"/>
    </row>
    <row r="15" spans="2:24">
      <c r="B15" s="58"/>
      <c r="C15" s="27"/>
      <c r="D15" s="97">
        <f t="shared" si="1"/>
        <v>5</v>
      </c>
      <c r="E15" s="98" t="s">
        <v>8</v>
      </c>
      <c r="F15" s="20"/>
      <c r="G15" s="22"/>
      <c r="H15" s="60"/>
      <c r="I15" s="21"/>
      <c r="J15" s="161">
        <f t="shared" si="0"/>
        <v>6</v>
      </c>
      <c r="K15" s="102"/>
      <c r="L15" s="154"/>
      <c r="M15" s="102"/>
      <c r="N15" s="154"/>
      <c r="O15" s="154"/>
      <c r="P15" s="102"/>
      <c r="Q15" s="155"/>
      <c r="R15" s="30"/>
      <c r="S15" s="23"/>
      <c r="T15" s="58"/>
      <c r="U15" s="27"/>
      <c r="V15" s="175"/>
      <c r="W15" s="62"/>
      <c r="X15" s="59"/>
    </row>
    <row r="16" spans="2:24" ht="15" thickBot="1">
      <c r="B16" s="58"/>
      <c r="C16" s="27"/>
      <c r="D16" s="97">
        <f t="shared" si="1"/>
        <v>6</v>
      </c>
      <c r="E16" s="98" t="s">
        <v>9</v>
      </c>
      <c r="F16" s="20"/>
      <c r="G16" s="22"/>
      <c r="H16" s="60"/>
      <c r="I16" s="21"/>
      <c r="J16" s="162">
        <f t="shared" si="0"/>
        <v>7</v>
      </c>
      <c r="K16" s="105"/>
      <c r="L16" s="156" t="s">
        <v>72</v>
      </c>
      <c r="M16" s="105"/>
      <c r="N16" s="156"/>
      <c r="O16" s="105"/>
      <c r="P16" s="156" t="s">
        <v>72</v>
      </c>
      <c r="Q16" s="157"/>
      <c r="R16" s="30"/>
      <c r="S16" s="23"/>
      <c r="T16" s="58"/>
      <c r="U16" s="27"/>
      <c r="V16" s="175"/>
      <c r="W16" s="62"/>
      <c r="X16" s="59"/>
    </row>
    <row r="17" spans="2:24">
      <c r="B17" s="58"/>
      <c r="C17" s="27"/>
      <c r="D17" s="97">
        <f t="shared" si="1"/>
        <v>7</v>
      </c>
      <c r="E17" s="98" t="s">
        <v>6</v>
      </c>
      <c r="F17" s="20"/>
      <c r="G17" s="22"/>
      <c r="H17" s="60"/>
      <c r="I17" s="21"/>
      <c r="J17" s="21"/>
      <c r="K17" s="21"/>
      <c r="L17" s="21"/>
      <c r="M17" s="21"/>
      <c r="N17" s="21"/>
      <c r="O17" s="21"/>
      <c r="P17" s="21"/>
      <c r="Q17" s="21"/>
      <c r="R17" s="31"/>
      <c r="S17" s="24"/>
      <c r="T17" s="58"/>
      <c r="U17" s="27"/>
      <c r="V17" s="175"/>
      <c r="W17" s="62"/>
      <c r="X17" s="59"/>
    </row>
    <row r="18" spans="2:24" ht="15" thickBot="1">
      <c r="B18" s="58"/>
      <c r="C18" s="27"/>
      <c r="D18" s="97">
        <f t="shared" si="1"/>
        <v>8</v>
      </c>
      <c r="E18" s="111" t="s">
        <v>79</v>
      </c>
      <c r="F18" s="20"/>
      <c r="G18" s="22"/>
      <c r="H18" s="60"/>
      <c r="I18" s="21"/>
      <c r="J18" s="21"/>
      <c r="K18" s="21"/>
      <c r="L18" s="21"/>
      <c r="M18" s="21"/>
      <c r="N18" s="21"/>
      <c r="O18" s="21"/>
      <c r="P18" s="21"/>
      <c r="Q18" s="21"/>
      <c r="R18" s="30"/>
      <c r="S18" s="23"/>
      <c r="T18" s="58"/>
      <c r="U18" s="27"/>
      <c r="V18" s="175"/>
      <c r="W18" s="62"/>
      <c r="X18" s="59"/>
    </row>
    <row r="19" spans="2:24" ht="15" thickBot="1">
      <c r="B19" s="58"/>
      <c r="C19" s="27"/>
      <c r="D19" s="97">
        <f t="shared" si="1"/>
        <v>9</v>
      </c>
      <c r="E19" s="112" t="s">
        <v>10</v>
      </c>
      <c r="F19" s="20"/>
      <c r="G19" s="59"/>
      <c r="H19" s="60"/>
      <c r="I19" s="21"/>
      <c r="J19" s="248" t="s">
        <v>80</v>
      </c>
      <c r="K19" s="249"/>
      <c r="L19" s="249"/>
      <c r="M19" s="249"/>
      <c r="N19" s="249"/>
      <c r="O19" s="249"/>
      <c r="P19" s="249"/>
      <c r="Q19" s="250"/>
      <c r="R19" s="31"/>
      <c r="S19" s="24"/>
      <c r="T19" s="58"/>
      <c r="U19" s="27"/>
      <c r="V19" s="175"/>
      <c r="W19" s="62"/>
      <c r="X19" s="59"/>
    </row>
    <row r="20" spans="2:24">
      <c r="B20" s="58"/>
      <c r="C20" s="27"/>
      <c r="D20" s="97">
        <f t="shared" si="1"/>
        <v>10</v>
      </c>
      <c r="E20" s="112" t="s">
        <v>11</v>
      </c>
      <c r="F20" s="20"/>
      <c r="G20" s="22"/>
      <c r="H20" s="60"/>
      <c r="I20" s="21"/>
      <c r="J20" s="142" t="s">
        <v>1</v>
      </c>
      <c r="K20" s="143" t="s">
        <v>18</v>
      </c>
      <c r="L20" s="143" t="s">
        <v>19</v>
      </c>
      <c r="M20" s="143" t="s">
        <v>20</v>
      </c>
      <c r="N20" s="143" t="s">
        <v>21</v>
      </c>
      <c r="O20" s="143" t="s">
        <v>22</v>
      </c>
      <c r="P20" s="143" t="s">
        <v>23</v>
      </c>
      <c r="Q20" s="144" t="s">
        <v>24</v>
      </c>
      <c r="R20" s="31"/>
      <c r="S20" s="24"/>
      <c r="T20" s="58"/>
      <c r="U20" s="27"/>
      <c r="V20" s="175"/>
      <c r="W20" s="62"/>
      <c r="X20" s="59"/>
    </row>
    <row r="21" spans="2:24">
      <c r="B21" s="58"/>
      <c r="C21" s="27"/>
      <c r="D21" s="97">
        <f t="shared" si="1"/>
        <v>11</v>
      </c>
      <c r="E21" s="112" t="s">
        <v>12</v>
      </c>
      <c r="F21" s="20"/>
      <c r="G21" s="22"/>
      <c r="H21" s="60"/>
      <c r="I21" s="21"/>
      <c r="J21" s="145">
        <v>1</v>
      </c>
      <c r="K21" s="146"/>
      <c r="L21" s="146"/>
      <c r="M21" s="147"/>
      <c r="N21" s="146"/>
      <c r="O21" s="147"/>
      <c r="P21" s="146"/>
      <c r="Q21" s="148"/>
      <c r="R21" s="29"/>
      <c r="S21" s="25"/>
      <c r="T21" s="58"/>
      <c r="U21" s="27"/>
      <c r="V21" s="175"/>
      <c r="W21" s="27"/>
      <c r="X21" s="59"/>
    </row>
    <row r="22" spans="2:24">
      <c r="B22" s="58"/>
      <c r="C22" s="27"/>
      <c r="D22" s="97">
        <f t="shared" si="1"/>
        <v>12</v>
      </c>
      <c r="E22" s="112" t="s">
        <v>13</v>
      </c>
      <c r="F22" s="20"/>
      <c r="G22" s="22"/>
      <c r="H22" s="60"/>
      <c r="I22" s="21"/>
      <c r="J22" s="145">
        <f>J21+1</f>
        <v>2</v>
      </c>
      <c r="K22" s="146"/>
      <c r="L22" s="147"/>
      <c r="M22" s="146"/>
      <c r="N22" s="146"/>
      <c r="O22" s="147"/>
      <c r="P22" s="146"/>
      <c r="Q22" s="148"/>
      <c r="R22" s="30"/>
      <c r="S22" s="23"/>
      <c r="T22" s="58"/>
      <c r="U22" s="27"/>
      <c r="V22" s="175"/>
      <c r="W22" s="27"/>
      <c r="X22" s="59"/>
    </row>
    <row r="23" spans="2:24">
      <c r="B23" s="58"/>
      <c r="C23" s="27"/>
      <c r="D23" s="97">
        <f t="shared" si="1"/>
        <v>13</v>
      </c>
      <c r="E23" s="112" t="s">
        <v>14</v>
      </c>
      <c r="F23" s="20"/>
      <c r="G23" s="22"/>
      <c r="H23" s="60"/>
      <c r="I23" s="21"/>
      <c r="J23" s="145">
        <f t="shared" ref="J23:J27" si="2">J22+1</f>
        <v>3</v>
      </c>
      <c r="K23" s="146"/>
      <c r="L23" s="147"/>
      <c r="M23" s="146"/>
      <c r="N23" s="147"/>
      <c r="O23" s="146"/>
      <c r="P23" s="146"/>
      <c r="Q23" s="148"/>
      <c r="R23" s="30"/>
      <c r="S23" s="23"/>
      <c r="T23" s="58"/>
      <c r="U23" s="27"/>
      <c r="V23" s="175"/>
      <c r="W23" s="27"/>
      <c r="X23" s="59"/>
    </row>
    <row r="24" spans="2:24">
      <c r="B24" s="58"/>
      <c r="C24" s="27"/>
      <c r="D24" s="97">
        <f t="shared" si="1"/>
        <v>14</v>
      </c>
      <c r="E24" s="112" t="s">
        <v>15</v>
      </c>
      <c r="F24" s="20"/>
      <c r="G24" s="22"/>
      <c r="H24" s="60"/>
      <c r="I24" s="21"/>
      <c r="J24" s="145">
        <f t="shared" si="2"/>
        <v>4</v>
      </c>
      <c r="K24" s="146"/>
      <c r="L24" s="147"/>
      <c r="M24" s="146"/>
      <c r="N24" s="147"/>
      <c r="O24" s="146"/>
      <c r="P24" s="147"/>
      <c r="Q24" s="149"/>
      <c r="R24" s="31"/>
      <c r="S24" s="24"/>
      <c r="T24" s="58"/>
      <c r="U24" s="27"/>
      <c r="V24" s="175"/>
      <c r="W24" s="27"/>
      <c r="X24" s="59"/>
    </row>
    <row r="25" spans="2:24">
      <c r="B25" s="58"/>
      <c r="C25" s="27"/>
      <c r="D25" s="181">
        <f t="shared" si="1"/>
        <v>15</v>
      </c>
      <c r="E25" s="111" t="s">
        <v>16</v>
      </c>
      <c r="F25" s="20"/>
      <c r="G25" s="22"/>
      <c r="H25" s="60"/>
      <c r="I25" s="21"/>
      <c r="J25" s="145">
        <f t="shared" si="2"/>
        <v>5</v>
      </c>
      <c r="K25" s="147"/>
      <c r="L25" s="146"/>
      <c r="M25" s="146"/>
      <c r="N25" s="147"/>
      <c r="O25" s="146"/>
      <c r="P25" s="147"/>
      <c r="Q25" s="149"/>
      <c r="R25" s="31"/>
      <c r="S25" s="24"/>
      <c r="T25" s="58"/>
      <c r="U25" s="27"/>
      <c r="V25" s="175"/>
      <c r="W25" s="27"/>
      <c r="X25" s="59"/>
    </row>
    <row r="26" spans="2:24" ht="15" thickBot="1">
      <c r="B26" s="58"/>
      <c r="C26" s="27"/>
      <c r="D26" s="104">
        <f t="shared" si="1"/>
        <v>16</v>
      </c>
      <c r="E26" s="182" t="s">
        <v>81</v>
      </c>
      <c r="F26" s="27"/>
      <c r="G26" s="59"/>
      <c r="H26" s="60"/>
      <c r="I26" s="21"/>
      <c r="J26" s="145">
        <f t="shared" si="2"/>
        <v>6</v>
      </c>
      <c r="K26" s="147"/>
      <c r="L26" s="146"/>
      <c r="M26" s="147"/>
      <c r="N26" s="146"/>
      <c r="O26" s="146"/>
      <c r="P26" s="147"/>
      <c r="Q26" s="149"/>
      <c r="R26" s="31"/>
      <c r="S26" s="24"/>
      <c r="T26" s="58"/>
      <c r="U26" s="27"/>
      <c r="V26" s="175"/>
      <c r="W26" s="27"/>
      <c r="X26" s="59"/>
    </row>
    <row r="27" spans="2:24" ht="15" thickBot="1">
      <c r="B27" s="58"/>
      <c r="C27" s="27"/>
      <c r="D27" s="27"/>
      <c r="E27" s="27"/>
      <c r="F27" s="27"/>
      <c r="G27" s="59"/>
      <c r="H27" s="60"/>
      <c r="I27" s="21"/>
      <c r="J27" s="150">
        <f t="shared" si="2"/>
        <v>7</v>
      </c>
      <c r="K27" s="151"/>
      <c r="L27" s="152" t="s">
        <v>72</v>
      </c>
      <c r="M27" s="151"/>
      <c r="N27" s="152"/>
      <c r="O27" s="151"/>
      <c r="P27" s="152" t="s">
        <v>72</v>
      </c>
      <c r="Q27" s="153"/>
      <c r="R27" s="31"/>
      <c r="S27" s="24"/>
      <c r="T27" s="58"/>
      <c r="U27" s="27"/>
      <c r="V27" s="175"/>
      <c r="W27" s="27"/>
      <c r="X27" s="59"/>
    </row>
    <row r="28" spans="2:24">
      <c r="B28" s="58"/>
      <c r="C28" s="27"/>
      <c r="D28" s="27"/>
      <c r="E28" s="27"/>
      <c r="F28" s="27"/>
      <c r="G28" s="59"/>
      <c r="H28" s="60"/>
      <c r="I28" s="21"/>
      <c r="J28" s="40"/>
      <c r="K28" s="40"/>
      <c r="L28" s="40"/>
      <c r="M28" s="40"/>
      <c r="N28" s="40"/>
      <c r="O28" s="40"/>
      <c r="P28" s="139"/>
      <c r="Q28" s="40"/>
      <c r="R28" s="29"/>
      <c r="S28" s="25"/>
      <c r="T28" s="58"/>
      <c r="U28" s="27"/>
      <c r="V28" s="175"/>
      <c r="W28" s="62"/>
      <c r="X28" s="59"/>
    </row>
    <row r="29" spans="2:24">
      <c r="B29" s="58"/>
      <c r="C29" s="27"/>
      <c r="D29" s="27"/>
      <c r="E29" s="27"/>
      <c r="F29" s="27"/>
      <c r="G29" s="59"/>
      <c r="H29" s="60"/>
      <c r="I29" s="21"/>
      <c r="J29" s="21"/>
      <c r="K29" s="21"/>
      <c r="L29" s="21"/>
      <c r="M29" s="21"/>
      <c r="N29" s="21"/>
      <c r="O29" s="21"/>
      <c r="P29" s="21"/>
      <c r="Q29" s="21"/>
      <c r="R29" s="30"/>
      <c r="S29" s="23"/>
      <c r="T29" s="58"/>
      <c r="U29" s="27"/>
      <c r="V29" s="175"/>
      <c r="W29" s="62"/>
      <c r="X29" s="59"/>
    </row>
    <row r="30" spans="2:24">
      <c r="B30" s="58"/>
      <c r="C30" s="27"/>
      <c r="D30" s="27"/>
      <c r="E30" s="27"/>
      <c r="F30" s="27"/>
      <c r="G30" s="59"/>
      <c r="H30" s="60"/>
      <c r="I30" s="21"/>
      <c r="J30" s="21"/>
      <c r="K30" s="21"/>
      <c r="L30" s="21"/>
      <c r="M30" s="21"/>
      <c r="N30" s="21"/>
      <c r="O30" s="21"/>
      <c r="P30" s="21"/>
      <c r="Q30" s="21"/>
      <c r="R30" s="30"/>
      <c r="S30" s="23"/>
      <c r="T30" s="58"/>
      <c r="U30" s="27"/>
      <c r="V30" s="175"/>
      <c r="W30" s="62"/>
      <c r="X30" s="59"/>
    </row>
    <row r="31" spans="2:24">
      <c r="B31" s="58"/>
      <c r="C31" s="27"/>
      <c r="D31" s="27"/>
      <c r="E31" s="27"/>
      <c r="F31" s="27"/>
      <c r="G31" s="59"/>
      <c r="H31" s="60"/>
      <c r="I31" s="21"/>
      <c r="J31" s="21"/>
      <c r="K31" s="21"/>
      <c r="L31" s="21"/>
      <c r="M31" s="21"/>
      <c r="N31" s="21"/>
      <c r="O31" s="21"/>
      <c r="P31" s="21"/>
      <c r="Q31" s="21"/>
      <c r="R31" s="31"/>
      <c r="S31" s="24"/>
      <c r="T31" s="58"/>
      <c r="U31" s="27"/>
      <c r="V31" s="175"/>
      <c r="W31" s="62"/>
      <c r="X31" s="59"/>
    </row>
    <row r="32" spans="2:24">
      <c r="B32" s="58"/>
      <c r="C32" s="27"/>
      <c r="D32" s="27"/>
      <c r="E32" s="27"/>
      <c r="F32" s="27"/>
      <c r="G32" s="59"/>
      <c r="H32" s="60"/>
      <c r="I32" s="21"/>
      <c r="J32" s="21"/>
      <c r="K32" s="21"/>
      <c r="L32" s="21"/>
      <c r="M32" s="21"/>
      <c r="N32" s="21"/>
      <c r="O32" s="21"/>
      <c r="P32" s="21"/>
      <c r="Q32" s="21"/>
      <c r="R32" s="30"/>
      <c r="S32" s="23"/>
      <c r="T32" s="58"/>
      <c r="U32" s="27"/>
      <c r="V32" s="175"/>
      <c r="W32" s="62"/>
      <c r="X32" s="59"/>
    </row>
    <row r="33" spans="2:24">
      <c r="B33" s="58"/>
      <c r="C33" s="27"/>
      <c r="D33" s="27"/>
      <c r="E33" s="27"/>
      <c r="F33" s="27"/>
      <c r="G33" s="59"/>
      <c r="H33" s="60"/>
      <c r="I33" s="21"/>
      <c r="J33" s="21"/>
      <c r="K33" s="21"/>
      <c r="L33" s="21"/>
      <c r="M33" s="21"/>
      <c r="N33" s="21"/>
      <c r="O33" s="21"/>
      <c r="P33" s="21"/>
      <c r="Q33" s="21"/>
      <c r="R33" s="31"/>
      <c r="S33" s="24"/>
      <c r="T33" s="58"/>
      <c r="U33" s="27"/>
      <c r="V33" s="175"/>
      <c r="W33" s="62"/>
      <c r="X33" s="59"/>
    </row>
    <row r="34" spans="2:24">
      <c r="B34" s="58"/>
      <c r="C34" s="27"/>
      <c r="D34" s="27"/>
      <c r="E34" s="27"/>
      <c r="F34" s="27"/>
      <c r="G34" s="59"/>
      <c r="H34" s="60"/>
      <c r="I34" s="21"/>
      <c r="J34" s="21"/>
      <c r="K34" s="21"/>
      <c r="L34" s="21"/>
      <c r="M34" s="21"/>
      <c r="N34" s="21"/>
      <c r="O34" s="21"/>
      <c r="P34" s="21"/>
      <c r="Q34" s="21"/>
      <c r="R34" s="31"/>
      <c r="S34" s="24"/>
      <c r="T34" s="58"/>
      <c r="U34" s="27"/>
      <c r="V34" s="175"/>
      <c r="W34" s="62"/>
      <c r="X34" s="59"/>
    </row>
    <row r="35" spans="2:24">
      <c r="B35" s="58"/>
      <c r="C35" s="27"/>
      <c r="D35" s="27"/>
      <c r="E35" s="27"/>
      <c r="F35" s="27"/>
      <c r="G35" s="59"/>
      <c r="H35" s="60"/>
      <c r="I35" s="21"/>
      <c r="J35" s="21"/>
      <c r="K35" s="21"/>
      <c r="L35" s="21"/>
      <c r="M35" s="21"/>
      <c r="N35" s="21"/>
      <c r="O35" s="21"/>
      <c r="P35" s="21"/>
      <c r="Q35" s="21"/>
      <c r="R35" s="29"/>
      <c r="S35" s="25"/>
      <c r="T35" s="58"/>
      <c r="U35" s="27"/>
      <c r="V35" s="175"/>
      <c r="W35" s="62"/>
      <c r="X35" s="59"/>
    </row>
    <row r="36" spans="2:24">
      <c r="B36" s="58"/>
      <c r="C36" s="27"/>
      <c r="D36" s="27"/>
      <c r="E36" s="27"/>
      <c r="F36" s="27"/>
      <c r="G36" s="59"/>
      <c r="H36" s="60"/>
      <c r="I36" s="21"/>
      <c r="J36" s="21"/>
      <c r="K36" s="21"/>
      <c r="L36" s="21"/>
      <c r="M36" s="21"/>
      <c r="N36" s="21"/>
      <c r="O36" s="21"/>
      <c r="P36" s="21"/>
      <c r="Q36" s="21"/>
      <c r="R36" s="30"/>
      <c r="S36" s="23"/>
      <c r="T36" s="58"/>
      <c r="U36" s="27"/>
      <c r="V36" s="175"/>
      <c r="W36" s="62"/>
      <c r="X36" s="59"/>
    </row>
    <row r="37" spans="2:24">
      <c r="B37" s="58"/>
      <c r="C37" s="27"/>
      <c r="D37" s="27"/>
      <c r="E37" s="27"/>
      <c r="F37" s="27"/>
      <c r="G37" s="59"/>
      <c r="H37" s="60"/>
      <c r="I37" s="21"/>
      <c r="J37" s="21"/>
      <c r="K37" s="21"/>
      <c r="L37" s="21"/>
      <c r="M37" s="21"/>
      <c r="N37" s="21"/>
      <c r="O37" s="21"/>
      <c r="P37" s="21"/>
      <c r="Q37" s="21"/>
      <c r="R37" s="30"/>
      <c r="S37" s="23"/>
      <c r="T37" s="58"/>
      <c r="U37" s="27"/>
      <c r="V37" s="175"/>
      <c r="W37" s="62"/>
      <c r="X37" s="59"/>
    </row>
    <row r="38" spans="2:24">
      <c r="B38" s="58"/>
      <c r="C38" s="27"/>
      <c r="D38" s="27"/>
      <c r="E38" s="27"/>
      <c r="F38" s="27"/>
      <c r="G38" s="59"/>
      <c r="H38" s="60"/>
      <c r="I38" s="21"/>
      <c r="J38" s="40"/>
      <c r="K38" s="40"/>
      <c r="L38" s="40"/>
      <c r="M38" s="139"/>
      <c r="N38" s="40"/>
      <c r="O38" s="40"/>
      <c r="P38" s="40"/>
      <c r="Q38" s="40"/>
      <c r="R38" s="31"/>
      <c r="S38" s="24"/>
      <c r="T38" s="58"/>
      <c r="U38" s="27"/>
      <c r="V38" s="175"/>
      <c r="W38" s="62"/>
      <c r="X38" s="59"/>
    </row>
    <row r="39" spans="2:24">
      <c r="B39" s="58"/>
      <c r="C39" s="27"/>
      <c r="D39" s="27"/>
      <c r="E39" s="27"/>
      <c r="F39" s="27"/>
      <c r="G39" s="59"/>
      <c r="H39" s="60"/>
      <c r="I39" s="21"/>
      <c r="J39" s="21"/>
      <c r="K39" s="21"/>
      <c r="L39" s="21"/>
      <c r="M39" s="21"/>
      <c r="N39" s="21"/>
      <c r="O39" s="21"/>
      <c r="P39" s="21"/>
      <c r="Q39" s="21"/>
      <c r="R39" s="31"/>
      <c r="S39" s="24"/>
      <c r="T39" s="58"/>
      <c r="U39" s="27"/>
      <c r="V39" s="175"/>
      <c r="W39" s="62"/>
      <c r="X39" s="59"/>
    </row>
    <row r="40" spans="2:24">
      <c r="B40" s="58"/>
      <c r="C40" s="27"/>
      <c r="D40" s="27"/>
      <c r="E40" s="27"/>
      <c r="F40" s="27"/>
      <c r="G40" s="59"/>
      <c r="H40" s="60"/>
      <c r="I40" s="21"/>
      <c r="J40" s="21"/>
      <c r="K40" s="21"/>
      <c r="L40" s="21"/>
      <c r="M40" s="21"/>
      <c r="N40" s="21"/>
      <c r="O40" s="21"/>
      <c r="P40" s="21"/>
      <c r="Q40" s="21"/>
      <c r="R40" s="31"/>
      <c r="S40" s="24"/>
      <c r="T40" s="58"/>
      <c r="U40" s="27"/>
      <c r="V40" s="175"/>
      <c r="W40" s="62"/>
      <c r="X40" s="59"/>
    </row>
    <row r="41" spans="2:24">
      <c r="B41" s="58"/>
      <c r="C41" s="27"/>
      <c r="D41" s="27"/>
      <c r="E41" s="27"/>
      <c r="F41" s="27"/>
      <c r="G41" s="59"/>
      <c r="H41" s="60"/>
      <c r="I41" s="21"/>
      <c r="J41" s="21"/>
      <c r="K41" s="21"/>
      <c r="L41" s="21"/>
      <c r="M41" s="21"/>
      <c r="N41" s="21"/>
      <c r="O41" s="21"/>
      <c r="P41" s="21"/>
      <c r="Q41" s="21"/>
      <c r="R41" s="31"/>
      <c r="S41" s="24"/>
      <c r="T41" s="58"/>
      <c r="U41" s="27"/>
      <c r="V41" s="175"/>
      <c r="W41" s="62"/>
      <c r="X41" s="59"/>
    </row>
    <row r="42" spans="2:24">
      <c r="B42" s="58"/>
      <c r="C42" s="27"/>
      <c r="D42" s="27"/>
      <c r="E42" s="27"/>
      <c r="F42" s="27"/>
      <c r="G42" s="59"/>
      <c r="H42" s="60"/>
      <c r="I42" s="21"/>
      <c r="J42" s="21"/>
      <c r="K42" s="21"/>
      <c r="L42" s="21"/>
      <c r="M42" s="21"/>
      <c r="N42" s="21"/>
      <c r="O42" s="21"/>
      <c r="P42" s="21"/>
      <c r="Q42" s="21"/>
      <c r="R42" s="29"/>
      <c r="S42" s="25"/>
      <c r="T42" s="58"/>
      <c r="U42" s="27"/>
      <c r="V42" s="175"/>
      <c r="W42" s="62"/>
      <c r="X42" s="59"/>
    </row>
    <row r="43" spans="2:24">
      <c r="B43" s="58"/>
      <c r="C43" s="27"/>
      <c r="D43" s="27"/>
      <c r="E43" s="27"/>
      <c r="F43" s="27"/>
      <c r="G43" s="59"/>
      <c r="H43" s="60"/>
      <c r="I43" s="21"/>
      <c r="J43" s="21"/>
      <c r="K43" s="21"/>
      <c r="L43" s="21"/>
      <c r="M43" s="21"/>
      <c r="N43" s="21"/>
      <c r="O43" s="21"/>
      <c r="P43" s="21"/>
      <c r="Q43" s="21"/>
      <c r="R43" s="30"/>
      <c r="S43" s="23"/>
      <c r="T43" s="58"/>
      <c r="U43" s="27"/>
      <c r="V43" s="175"/>
      <c r="W43" s="62"/>
      <c r="X43" s="59"/>
    </row>
    <row r="44" spans="2:24">
      <c r="B44" s="58"/>
      <c r="C44" s="27"/>
      <c r="D44" s="27"/>
      <c r="E44" s="27"/>
      <c r="F44" s="27"/>
      <c r="G44" s="59"/>
      <c r="H44" s="60"/>
      <c r="I44" s="21"/>
      <c r="J44" s="21"/>
      <c r="K44" s="21"/>
      <c r="L44" s="21"/>
      <c r="M44" s="21"/>
      <c r="N44" s="21"/>
      <c r="O44" s="21"/>
      <c r="P44" s="21"/>
      <c r="Q44" s="21"/>
      <c r="R44" s="30"/>
      <c r="S44" s="23"/>
      <c r="T44" s="58"/>
      <c r="U44" s="27"/>
      <c r="V44" s="175"/>
      <c r="W44" s="62"/>
      <c r="X44" s="59"/>
    </row>
    <row r="45" spans="2:24">
      <c r="B45" s="58"/>
      <c r="C45" s="27"/>
      <c r="D45" s="27"/>
      <c r="E45" s="27"/>
      <c r="F45" s="27"/>
      <c r="G45" s="59"/>
      <c r="H45" s="60"/>
      <c r="I45" s="21"/>
      <c r="J45" s="21"/>
      <c r="K45" s="21"/>
      <c r="L45" s="21"/>
      <c r="M45" s="21"/>
      <c r="N45" s="21"/>
      <c r="O45" s="21"/>
      <c r="P45" s="21"/>
      <c r="Q45" s="21"/>
      <c r="R45" s="32"/>
      <c r="S45" s="26"/>
      <c r="T45" s="58"/>
      <c r="U45" s="27"/>
      <c r="V45" s="175"/>
      <c r="W45" s="62"/>
      <c r="X45" s="59"/>
    </row>
    <row r="46" spans="2:24">
      <c r="B46" s="58"/>
      <c r="C46" s="27"/>
      <c r="D46" s="27"/>
      <c r="E46" s="27"/>
      <c r="F46" s="27"/>
      <c r="G46" s="59"/>
      <c r="H46" s="60"/>
      <c r="I46" s="21"/>
      <c r="J46" s="21"/>
      <c r="K46" s="21"/>
      <c r="L46" s="21"/>
      <c r="M46" s="21"/>
      <c r="N46" s="21"/>
      <c r="O46" s="21"/>
      <c r="P46" s="21"/>
      <c r="Q46" s="21"/>
      <c r="R46" s="32"/>
      <c r="S46" s="26"/>
      <c r="T46" s="58"/>
      <c r="U46" s="27"/>
      <c r="V46" s="175"/>
      <c r="W46" s="62"/>
      <c r="X46" s="59"/>
    </row>
    <row r="47" spans="2:24" ht="15" thickBot="1">
      <c r="B47" s="58"/>
      <c r="C47" s="27"/>
      <c r="D47" s="27"/>
      <c r="E47" s="27"/>
      <c r="F47" s="27"/>
      <c r="G47" s="59"/>
      <c r="H47" s="60"/>
      <c r="I47" s="21"/>
      <c r="J47" s="21"/>
      <c r="K47" s="21"/>
      <c r="L47" s="21"/>
      <c r="M47" s="21"/>
      <c r="N47" s="21"/>
      <c r="O47" s="21"/>
      <c r="P47" s="21"/>
      <c r="Q47" s="21"/>
      <c r="R47" s="32"/>
      <c r="S47" s="26"/>
      <c r="T47" s="58"/>
      <c r="U47" s="27"/>
      <c r="V47" s="176"/>
      <c r="W47" s="62"/>
      <c r="X47" s="59"/>
    </row>
    <row r="48" spans="2:24">
      <c r="B48" s="58"/>
      <c r="C48" s="27"/>
      <c r="D48" s="27"/>
      <c r="E48" s="27"/>
      <c r="F48" s="27"/>
      <c r="G48" s="59"/>
      <c r="H48" s="60"/>
      <c r="I48" s="21"/>
      <c r="J48" s="21"/>
      <c r="K48" s="21"/>
      <c r="L48" s="21"/>
      <c r="M48" s="21"/>
      <c r="N48" s="21"/>
      <c r="O48" s="21"/>
      <c r="P48" s="21"/>
      <c r="Q48" s="21"/>
      <c r="R48" s="32"/>
      <c r="S48" s="26"/>
      <c r="T48" s="58"/>
      <c r="U48" s="27"/>
      <c r="V48" s="27"/>
      <c r="W48" s="62"/>
      <c r="X48" s="59"/>
    </row>
    <row r="49" spans="2:24">
      <c r="B49" s="58"/>
      <c r="C49" s="27"/>
      <c r="D49" s="27"/>
      <c r="E49" s="27"/>
      <c r="F49" s="27"/>
      <c r="G49" s="59"/>
      <c r="H49" s="60"/>
      <c r="I49" s="21"/>
      <c r="J49" s="21"/>
      <c r="K49" s="21"/>
      <c r="L49" s="21"/>
      <c r="M49" s="21"/>
      <c r="N49" s="21"/>
      <c r="O49" s="21"/>
      <c r="P49" s="21"/>
      <c r="Q49" s="21"/>
      <c r="R49" s="29"/>
      <c r="S49" s="25"/>
      <c r="T49" s="58"/>
      <c r="U49" s="27"/>
      <c r="V49" s="27"/>
      <c r="W49" s="27"/>
      <c r="X49" s="59"/>
    </row>
    <row r="50" spans="2:24" ht="15" thickBot="1">
      <c r="B50" s="64"/>
      <c r="C50" s="28"/>
      <c r="D50" s="28"/>
      <c r="E50" s="28"/>
      <c r="F50" s="28"/>
      <c r="G50" s="65"/>
      <c r="H50" s="66"/>
      <c r="I50" s="67"/>
      <c r="J50" s="67"/>
      <c r="K50" s="67"/>
      <c r="L50" s="67"/>
      <c r="M50" s="67"/>
      <c r="N50" s="67"/>
      <c r="O50" s="67"/>
      <c r="P50" s="67"/>
      <c r="Q50" s="67"/>
      <c r="R50" s="68"/>
      <c r="S50" s="69"/>
      <c r="T50" s="64"/>
      <c r="U50" s="28"/>
      <c r="V50" s="28"/>
      <c r="W50" s="28"/>
      <c r="X50" s="65"/>
    </row>
    <row r="51" spans="2:24"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3"/>
      <c r="S51" s="54"/>
      <c r="T51" s="54"/>
      <c r="U51" s="54"/>
      <c r="V51" s="54"/>
      <c r="W51" s="54"/>
      <c r="X51" s="54"/>
    </row>
    <row r="52" spans="2:24"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3"/>
      <c r="S52" s="54"/>
      <c r="T52" s="54"/>
      <c r="U52" s="54"/>
      <c r="V52" s="54"/>
      <c r="W52" s="54"/>
      <c r="X52" s="54"/>
    </row>
    <row r="53" spans="2:24"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3"/>
      <c r="S53" s="54"/>
      <c r="T53" s="54"/>
      <c r="U53" s="54"/>
      <c r="V53" s="54"/>
      <c r="W53" s="54"/>
      <c r="X53" s="54"/>
    </row>
    <row r="54" spans="2:24"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3"/>
      <c r="S54" s="54"/>
      <c r="T54" s="54"/>
      <c r="U54" s="54"/>
      <c r="V54" s="54"/>
      <c r="W54" s="54"/>
      <c r="X54" s="54"/>
    </row>
    <row r="55" spans="2:24"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3"/>
      <c r="S55" s="54"/>
      <c r="T55" s="54"/>
      <c r="U55" s="54"/>
      <c r="V55" s="54"/>
      <c r="W55" s="54"/>
      <c r="X55" s="54"/>
    </row>
    <row r="56" spans="2:24"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3"/>
      <c r="S56" s="54"/>
      <c r="T56" s="54"/>
      <c r="U56" s="54"/>
      <c r="V56" s="54"/>
      <c r="W56" s="54"/>
      <c r="X56" s="54"/>
    </row>
    <row r="57" spans="2:24"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3"/>
      <c r="S57" s="54"/>
      <c r="T57" s="54"/>
      <c r="U57" s="54"/>
      <c r="V57" s="54"/>
      <c r="W57" s="54"/>
      <c r="X57" s="54"/>
    </row>
    <row r="58" spans="2:24" hidden="1"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3"/>
      <c r="S58" s="54"/>
      <c r="T58" s="54"/>
      <c r="U58" s="54"/>
      <c r="V58" s="54"/>
      <c r="W58" s="54"/>
      <c r="X58" s="54"/>
    </row>
    <row r="59" spans="2:24" hidden="1"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3"/>
      <c r="S59" s="54"/>
      <c r="T59" s="54"/>
      <c r="U59" s="54"/>
      <c r="V59" s="54"/>
      <c r="W59" s="54"/>
      <c r="X59" s="54"/>
    </row>
    <row r="60" spans="2:24" ht="13.5" hidden="1" customHeight="1" thickBot="1">
      <c r="B60" s="76"/>
      <c r="C60" s="77"/>
      <c r="D60" s="77"/>
      <c r="E60" s="77"/>
      <c r="F60" s="77"/>
      <c r="G60" s="77"/>
      <c r="H60" s="165"/>
      <c r="I60" s="163"/>
      <c r="J60" s="163"/>
      <c r="K60" s="163"/>
      <c r="L60" s="163"/>
      <c r="M60" s="163"/>
      <c r="N60" s="163"/>
      <c r="O60" s="163"/>
      <c r="P60" s="163"/>
      <c r="Q60" s="163"/>
      <c r="R60" s="164"/>
      <c r="S60" s="166"/>
      <c r="T60" s="77"/>
      <c r="U60" s="77"/>
      <c r="V60" s="77"/>
      <c r="W60" s="77"/>
      <c r="X60" s="78"/>
    </row>
    <row r="61" spans="2:24" ht="15" hidden="1" thickBot="1">
      <c r="B61" s="58"/>
      <c r="C61" s="27"/>
      <c r="D61" s="27"/>
      <c r="E61" s="27"/>
      <c r="F61" s="27"/>
      <c r="G61" s="27"/>
      <c r="H61" s="60"/>
      <c r="I61" s="21"/>
      <c r="J61" s="136" t="s">
        <v>26</v>
      </c>
      <c r="K61" s="137"/>
      <c r="L61" s="137"/>
      <c r="M61" s="137"/>
      <c r="N61" s="137"/>
      <c r="O61" s="137"/>
      <c r="P61" s="137"/>
      <c r="Q61" s="138"/>
      <c r="R61" s="32"/>
      <c r="S61" s="26"/>
      <c r="T61" s="27"/>
      <c r="U61" s="27"/>
      <c r="V61" s="61">
        <v>41459</v>
      </c>
      <c r="W61" s="62"/>
      <c r="X61" s="59"/>
    </row>
    <row r="62" spans="2:24" hidden="1">
      <c r="B62" s="58"/>
      <c r="C62" s="27"/>
      <c r="D62" s="27"/>
      <c r="E62" s="27"/>
      <c r="F62" s="27"/>
      <c r="G62" s="27"/>
      <c r="H62" s="60"/>
      <c r="I62" s="21"/>
      <c r="J62" s="1" t="s">
        <v>17</v>
      </c>
      <c r="K62" s="5" t="s">
        <v>27</v>
      </c>
      <c r="L62" s="5" t="s">
        <v>28</v>
      </c>
      <c r="M62" s="5" t="s">
        <v>29</v>
      </c>
      <c r="N62" s="5" t="s">
        <v>30</v>
      </c>
      <c r="O62" s="5" t="s">
        <v>31</v>
      </c>
      <c r="P62" s="5" t="s">
        <v>23</v>
      </c>
      <c r="Q62" s="6" t="s">
        <v>27</v>
      </c>
      <c r="R62" s="32"/>
      <c r="S62" s="26"/>
      <c r="T62" s="27"/>
      <c r="U62" s="27"/>
      <c r="V62" s="61">
        <v>41519</v>
      </c>
      <c r="W62" s="62"/>
      <c r="X62" s="59"/>
    </row>
    <row r="63" spans="2:24" hidden="1">
      <c r="B63" s="58"/>
      <c r="C63" s="27"/>
      <c r="D63" s="27"/>
      <c r="E63" s="27"/>
      <c r="F63" s="27"/>
      <c r="G63" s="27"/>
      <c r="H63" s="60"/>
      <c r="I63" s="21"/>
      <c r="J63" s="7">
        <v>0.5</v>
      </c>
      <c r="K63" s="8">
        <v>0</v>
      </c>
      <c r="L63" s="8">
        <v>9</v>
      </c>
      <c r="M63" s="8">
        <v>13</v>
      </c>
      <c r="N63" s="8">
        <v>14</v>
      </c>
      <c r="O63" s="8">
        <v>13</v>
      </c>
      <c r="P63" s="8">
        <v>9</v>
      </c>
      <c r="Q63" s="9">
        <v>0</v>
      </c>
      <c r="R63" s="32"/>
      <c r="S63" s="26"/>
      <c r="T63" s="27"/>
      <c r="U63" s="27"/>
      <c r="V63" s="61">
        <v>41561</v>
      </c>
      <c r="W63" s="62"/>
      <c r="X63" s="59"/>
    </row>
    <row r="64" spans="2:24" hidden="1">
      <c r="B64" s="58"/>
      <c r="C64" s="27"/>
      <c r="D64" s="27"/>
      <c r="E64" s="27"/>
      <c r="F64" s="27"/>
      <c r="G64" s="27"/>
      <c r="H64" s="60"/>
      <c r="I64" s="21"/>
      <c r="J64" s="7">
        <v>1.5</v>
      </c>
      <c r="K64" s="8">
        <v>0</v>
      </c>
      <c r="L64" s="8">
        <v>10</v>
      </c>
      <c r="M64" s="8">
        <v>10</v>
      </c>
      <c r="N64" s="8">
        <v>10</v>
      </c>
      <c r="O64" s="8">
        <v>11</v>
      </c>
      <c r="P64" s="8">
        <v>12</v>
      </c>
      <c r="Q64" s="9">
        <v>0</v>
      </c>
      <c r="R64" s="32"/>
      <c r="S64" s="26"/>
      <c r="T64" s="27"/>
      <c r="U64" s="27"/>
      <c r="V64" s="61">
        <v>41563</v>
      </c>
      <c r="W64" s="62"/>
      <c r="X64" s="59"/>
    </row>
    <row r="65" spans="2:24" hidden="1">
      <c r="B65" s="58"/>
      <c r="C65" s="27"/>
      <c r="D65" s="27"/>
      <c r="E65" s="27"/>
      <c r="F65" s="27"/>
      <c r="G65" s="27"/>
      <c r="H65" s="60"/>
      <c r="I65" s="21"/>
      <c r="J65" s="7">
        <v>3.5</v>
      </c>
      <c r="K65" s="8">
        <v>0</v>
      </c>
      <c r="L65" s="8">
        <v>15</v>
      </c>
      <c r="M65" s="8">
        <v>15</v>
      </c>
      <c r="N65" s="8">
        <v>10</v>
      </c>
      <c r="O65" s="8">
        <v>10</v>
      </c>
      <c r="P65" s="8">
        <v>10</v>
      </c>
      <c r="Q65" s="9">
        <v>0</v>
      </c>
      <c r="R65" s="29"/>
      <c r="S65" s="25"/>
      <c r="T65" s="27"/>
      <c r="U65" s="27"/>
      <c r="V65" s="61">
        <v>41565</v>
      </c>
      <c r="W65" s="95"/>
      <c r="X65" s="59"/>
    </row>
    <row r="66" spans="2:24" ht="15" hidden="1" thickBot="1">
      <c r="B66" s="58"/>
      <c r="C66" s="27"/>
      <c r="D66" s="27"/>
      <c r="E66" s="27"/>
      <c r="F66" s="27"/>
      <c r="G66" s="27"/>
      <c r="H66" s="60"/>
      <c r="I66" s="21"/>
      <c r="J66" s="10">
        <v>4.5</v>
      </c>
      <c r="K66" s="11">
        <v>0</v>
      </c>
      <c r="L66" s="11">
        <v>9</v>
      </c>
      <c r="M66" s="11">
        <v>9</v>
      </c>
      <c r="N66" s="11">
        <v>9</v>
      </c>
      <c r="O66" s="11">
        <v>9</v>
      </c>
      <c r="P66" s="11">
        <v>0</v>
      </c>
      <c r="Q66" s="12">
        <v>0</v>
      </c>
      <c r="R66" s="29"/>
      <c r="S66" s="25"/>
      <c r="T66" s="27"/>
      <c r="U66" s="27"/>
      <c r="V66" s="61">
        <v>41575</v>
      </c>
      <c r="W66" s="95"/>
      <c r="X66" s="59"/>
    </row>
    <row r="67" spans="2:24" hidden="1">
      <c r="B67" s="58"/>
      <c r="C67" s="27"/>
      <c r="D67" s="27"/>
      <c r="E67" s="27"/>
      <c r="F67" s="27"/>
      <c r="G67" s="27"/>
      <c r="H67" s="60"/>
      <c r="I67" s="21"/>
      <c r="J67" s="21"/>
      <c r="K67" s="21"/>
      <c r="L67" s="21"/>
      <c r="M67" s="21"/>
      <c r="N67" s="21"/>
      <c r="O67" s="21"/>
      <c r="P67" s="21"/>
      <c r="Q67" s="21"/>
      <c r="R67" s="29"/>
      <c r="S67" s="25"/>
      <c r="T67" s="27"/>
      <c r="U67" s="27"/>
      <c r="V67" s="61">
        <v>41603</v>
      </c>
      <c r="W67" s="95"/>
      <c r="X67" s="59"/>
    </row>
    <row r="68" spans="2:24" ht="15" hidden="1" thickBot="1">
      <c r="B68" s="58"/>
      <c r="C68" s="27"/>
      <c r="D68" s="27"/>
      <c r="E68" s="27"/>
      <c r="F68" s="27"/>
      <c r="G68" s="27"/>
      <c r="H68" s="60"/>
      <c r="I68" s="21"/>
      <c r="J68" s="136" t="s">
        <v>32</v>
      </c>
      <c r="K68" s="137"/>
      <c r="L68" s="137"/>
      <c r="M68" s="137"/>
      <c r="N68" s="137"/>
      <c r="O68" s="137"/>
      <c r="P68" s="137"/>
      <c r="Q68" s="138"/>
      <c r="R68" s="29"/>
      <c r="S68" s="25"/>
      <c r="T68" s="27"/>
      <c r="U68" s="27"/>
      <c r="V68" s="61">
        <v>41604</v>
      </c>
      <c r="W68" s="95"/>
      <c r="X68" s="59"/>
    </row>
    <row r="69" spans="2:24" hidden="1">
      <c r="B69" s="58"/>
      <c r="C69" s="27"/>
      <c r="D69" s="27"/>
      <c r="E69" s="27"/>
      <c r="F69" s="27"/>
      <c r="G69" s="27"/>
      <c r="H69" s="60"/>
      <c r="I69" s="21"/>
      <c r="J69" s="1" t="s">
        <v>17</v>
      </c>
      <c r="K69" s="5" t="s">
        <v>27</v>
      </c>
      <c r="L69" s="5" t="s">
        <v>28</v>
      </c>
      <c r="M69" s="5" t="s">
        <v>29</v>
      </c>
      <c r="N69" s="5" t="s">
        <v>30</v>
      </c>
      <c r="O69" s="5" t="s">
        <v>31</v>
      </c>
      <c r="P69" s="5" t="s">
        <v>23</v>
      </c>
      <c r="Q69" s="6" t="s">
        <v>27</v>
      </c>
      <c r="R69" s="29"/>
      <c r="S69" s="25"/>
      <c r="T69" s="27"/>
      <c r="U69" s="27"/>
      <c r="V69" s="61">
        <v>41605</v>
      </c>
      <c r="W69" s="95"/>
      <c r="X69" s="59"/>
    </row>
    <row r="70" spans="2:24" hidden="1">
      <c r="B70" s="58"/>
      <c r="C70" s="27"/>
      <c r="D70" s="27"/>
      <c r="E70" s="27"/>
      <c r="F70" s="27"/>
      <c r="G70" s="27"/>
      <c r="H70" s="60"/>
      <c r="I70" s="21"/>
      <c r="J70" s="2">
        <v>0.5</v>
      </c>
      <c r="K70" s="13">
        <v>0</v>
      </c>
      <c r="L70" s="13" t="s">
        <v>33</v>
      </c>
      <c r="M70" s="13" t="s">
        <v>34</v>
      </c>
      <c r="N70" s="13" t="s">
        <v>35</v>
      </c>
      <c r="O70" s="13" t="s">
        <v>34</v>
      </c>
      <c r="P70" s="13" t="s">
        <v>33</v>
      </c>
      <c r="Q70" s="14">
        <v>0</v>
      </c>
      <c r="R70" s="29"/>
      <c r="S70" s="25"/>
      <c r="T70" s="27"/>
      <c r="U70" s="27"/>
      <c r="V70" s="61">
        <v>41606</v>
      </c>
      <c r="W70" s="95"/>
      <c r="X70" s="59"/>
    </row>
    <row r="71" spans="2:24" hidden="1">
      <c r="B71" s="58"/>
      <c r="C71" s="27"/>
      <c r="D71" s="27"/>
      <c r="E71" s="27"/>
      <c r="F71" s="27"/>
      <c r="G71" s="27"/>
      <c r="H71" s="60"/>
      <c r="I71" s="21"/>
      <c r="J71" s="2">
        <v>1.5</v>
      </c>
      <c r="K71" s="13">
        <v>0</v>
      </c>
      <c r="L71" s="13" t="s">
        <v>36</v>
      </c>
      <c r="M71" s="13" t="s">
        <v>36</v>
      </c>
      <c r="N71" s="13" t="s">
        <v>37</v>
      </c>
      <c r="O71" s="13" t="s">
        <v>38</v>
      </c>
      <c r="P71" s="13" t="s">
        <v>36</v>
      </c>
      <c r="Q71" s="14">
        <v>0</v>
      </c>
      <c r="R71" s="29"/>
      <c r="S71" s="25"/>
      <c r="T71" s="27"/>
      <c r="U71" s="27"/>
      <c r="V71" s="61">
        <v>41607</v>
      </c>
      <c r="W71" s="95"/>
      <c r="X71" s="59"/>
    </row>
    <row r="72" spans="2:24" hidden="1">
      <c r="B72" s="58"/>
      <c r="C72" s="27"/>
      <c r="D72" s="27"/>
      <c r="E72" s="27"/>
      <c r="F72" s="27"/>
      <c r="G72" s="27"/>
      <c r="H72" s="60"/>
      <c r="I72" s="21"/>
      <c r="J72" s="2">
        <v>3.5</v>
      </c>
      <c r="K72" s="13">
        <v>0</v>
      </c>
      <c r="L72" s="13" t="s">
        <v>39</v>
      </c>
      <c r="M72" s="13" t="s">
        <v>39</v>
      </c>
      <c r="N72" s="13" t="s">
        <v>40</v>
      </c>
      <c r="O72" s="13" t="s">
        <v>40</v>
      </c>
      <c r="P72" s="13" t="s">
        <v>41</v>
      </c>
      <c r="Q72" s="14">
        <v>0</v>
      </c>
      <c r="R72" s="29"/>
      <c r="S72" s="25"/>
      <c r="T72" s="27"/>
      <c r="U72" s="27"/>
      <c r="V72" s="61">
        <v>41622</v>
      </c>
      <c r="W72" s="95"/>
      <c r="X72" s="59"/>
    </row>
    <row r="73" spans="2:24" hidden="1">
      <c r="B73" s="58"/>
      <c r="C73" s="27"/>
      <c r="D73" s="27"/>
      <c r="E73" s="27"/>
      <c r="F73" s="27"/>
      <c r="G73" s="27"/>
      <c r="H73" s="60"/>
      <c r="I73" s="21"/>
      <c r="J73" s="2">
        <v>4.5</v>
      </c>
      <c r="K73" s="13">
        <v>0</v>
      </c>
      <c r="L73" s="13" t="s">
        <v>42</v>
      </c>
      <c r="M73" s="13" t="s">
        <v>42</v>
      </c>
      <c r="N73" s="13" t="s">
        <v>42</v>
      </c>
      <c r="O73" s="13" t="s">
        <v>42</v>
      </c>
      <c r="P73" s="13">
        <v>0</v>
      </c>
      <c r="Q73" s="14">
        <v>0</v>
      </c>
      <c r="R73" s="29"/>
      <c r="S73" s="25"/>
      <c r="T73" s="27"/>
      <c r="U73" s="27"/>
      <c r="V73" s="61">
        <v>41623</v>
      </c>
      <c r="W73" s="95"/>
      <c r="X73" s="59"/>
    </row>
    <row r="74" spans="2:24" hidden="1">
      <c r="B74" s="58"/>
      <c r="C74" s="27"/>
      <c r="D74" s="27"/>
      <c r="E74" s="27"/>
      <c r="F74" s="27"/>
      <c r="G74" s="27"/>
      <c r="H74" s="60"/>
      <c r="I74" s="21"/>
      <c r="J74" s="2">
        <v>1</v>
      </c>
      <c r="K74" s="13">
        <v>0</v>
      </c>
      <c r="L74" s="13" t="s">
        <v>43</v>
      </c>
      <c r="M74" s="13" t="s">
        <v>43</v>
      </c>
      <c r="N74" s="13" t="s">
        <v>44</v>
      </c>
      <c r="O74" s="13" t="s">
        <v>43</v>
      </c>
      <c r="P74" s="13" t="s">
        <v>43</v>
      </c>
      <c r="Q74" s="14">
        <v>0</v>
      </c>
      <c r="R74" s="29"/>
      <c r="S74" s="25"/>
      <c r="T74" s="27"/>
      <c r="U74" s="27"/>
      <c r="V74" s="61">
        <v>41624</v>
      </c>
      <c r="W74" s="95"/>
      <c r="X74" s="59"/>
    </row>
    <row r="75" spans="2:24" hidden="1">
      <c r="B75" s="58"/>
      <c r="C75" s="27"/>
      <c r="D75" s="27"/>
      <c r="E75" s="27"/>
      <c r="F75" s="27"/>
      <c r="G75" s="27"/>
      <c r="H75" s="60"/>
      <c r="I75" s="21"/>
      <c r="J75" s="2">
        <v>2</v>
      </c>
      <c r="K75" s="13">
        <v>0</v>
      </c>
      <c r="L75" s="13" t="s">
        <v>45</v>
      </c>
      <c r="M75" s="13" t="s">
        <v>45</v>
      </c>
      <c r="N75" s="13" t="s">
        <v>46</v>
      </c>
      <c r="O75" s="13" t="s">
        <v>46</v>
      </c>
      <c r="P75" s="13" t="s">
        <v>45</v>
      </c>
      <c r="Q75" s="14">
        <v>0</v>
      </c>
      <c r="R75" s="29"/>
      <c r="S75" s="25"/>
      <c r="T75" s="27"/>
      <c r="U75" s="27"/>
      <c r="V75" s="61">
        <v>41625</v>
      </c>
      <c r="W75" s="95"/>
      <c r="X75" s="59"/>
    </row>
    <row r="76" spans="2:24" hidden="1">
      <c r="B76" s="58"/>
      <c r="C76" s="27"/>
      <c r="D76" s="27"/>
      <c r="E76" s="202"/>
      <c r="F76" s="27"/>
      <c r="G76" s="27"/>
      <c r="H76" s="60"/>
      <c r="I76" s="21"/>
      <c r="J76" s="2">
        <v>3</v>
      </c>
      <c r="K76" s="13">
        <v>0</v>
      </c>
      <c r="L76" s="13" t="s">
        <v>47</v>
      </c>
      <c r="M76" s="13" t="s">
        <v>47</v>
      </c>
      <c r="N76" s="13" t="s">
        <v>48</v>
      </c>
      <c r="O76" s="13" t="s">
        <v>48</v>
      </c>
      <c r="P76" s="13" t="s">
        <v>47</v>
      </c>
      <c r="Q76" s="14">
        <v>0</v>
      </c>
      <c r="R76" s="29"/>
      <c r="S76" s="25"/>
      <c r="T76" s="27"/>
      <c r="U76" s="27"/>
      <c r="V76" s="61">
        <v>41626</v>
      </c>
      <c r="W76" s="95"/>
      <c r="X76" s="59"/>
    </row>
    <row r="77" spans="2:24" ht="15" hidden="1" thickBot="1">
      <c r="B77" s="58"/>
      <c r="C77" s="27"/>
      <c r="D77" s="27"/>
      <c r="E77" s="27"/>
      <c r="F77" s="27"/>
      <c r="G77" s="27"/>
      <c r="H77" s="60"/>
      <c r="I77" s="21"/>
      <c r="J77" s="3">
        <v>4</v>
      </c>
      <c r="K77" s="15">
        <v>0</v>
      </c>
      <c r="L77" s="15" t="s">
        <v>49</v>
      </c>
      <c r="M77" s="15" t="s">
        <v>49</v>
      </c>
      <c r="N77" s="15" t="s">
        <v>49</v>
      </c>
      <c r="O77" s="15" t="s">
        <v>49</v>
      </c>
      <c r="P77" s="15" t="s">
        <v>50</v>
      </c>
      <c r="Q77" s="16">
        <v>0</v>
      </c>
      <c r="R77" s="29"/>
      <c r="S77" s="25"/>
      <c r="T77" s="27"/>
      <c r="U77" s="27"/>
      <c r="V77" s="61">
        <v>41627</v>
      </c>
      <c r="W77" s="95"/>
      <c r="X77" s="59"/>
    </row>
    <row r="78" spans="2:24" hidden="1">
      <c r="B78" s="58"/>
      <c r="C78" s="27"/>
      <c r="D78" s="27"/>
      <c r="E78" s="27"/>
      <c r="F78" s="27"/>
      <c r="G78" s="27"/>
      <c r="H78" s="60"/>
      <c r="I78" s="21"/>
      <c r="J78" s="21"/>
      <c r="K78" s="21"/>
      <c r="L78" s="21"/>
      <c r="M78" s="21"/>
      <c r="N78" s="21"/>
      <c r="O78" s="21"/>
      <c r="P78" s="21"/>
      <c r="Q78" s="21"/>
      <c r="R78" s="29"/>
      <c r="S78" s="25"/>
      <c r="T78" s="27"/>
      <c r="U78" s="27"/>
      <c r="V78" s="61">
        <v>41628</v>
      </c>
      <c r="W78" s="95"/>
      <c r="X78" s="59"/>
    </row>
    <row r="79" spans="2:24" ht="15" hidden="1" thickBot="1">
      <c r="B79" s="58"/>
      <c r="C79" s="27"/>
      <c r="D79" s="27"/>
      <c r="E79" s="27"/>
      <c r="F79" s="27"/>
      <c r="G79" s="27"/>
      <c r="H79" s="60"/>
      <c r="I79" s="21"/>
      <c r="J79" s="136" t="s">
        <v>73</v>
      </c>
      <c r="K79" s="137"/>
      <c r="L79" s="137"/>
      <c r="M79" s="137"/>
      <c r="N79" s="137"/>
      <c r="O79" s="137"/>
      <c r="P79" s="137"/>
      <c r="Q79" s="138"/>
      <c r="R79" s="29"/>
      <c r="S79" s="25"/>
      <c r="T79" s="27"/>
      <c r="U79" s="27"/>
      <c r="V79" s="61">
        <v>41629</v>
      </c>
      <c r="W79" s="95"/>
      <c r="X79" s="59"/>
    </row>
    <row r="80" spans="2:24" hidden="1">
      <c r="B80" s="58"/>
      <c r="C80" s="27"/>
      <c r="D80" s="27"/>
      <c r="E80" s="27"/>
      <c r="F80" s="27"/>
      <c r="G80" s="27"/>
      <c r="H80" s="60"/>
      <c r="I80" s="21"/>
      <c r="J80" s="99" t="s">
        <v>17</v>
      </c>
      <c r="K80" s="100">
        <v>1</v>
      </c>
      <c r="L80" s="100">
        <v>2</v>
      </c>
      <c r="M80" s="100">
        <v>3</v>
      </c>
      <c r="N80" s="100">
        <v>4</v>
      </c>
      <c r="O80" s="100">
        <v>5</v>
      </c>
      <c r="P80" s="100">
        <v>6</v>
      </c>
      <c r="Q80" s="101">
        <v>7</v>
      </c>
      <c r="R80" s="29"/>
      <c r="S80" s="25"/>
      <c r="T80" s="27"/>
      <c r="U80" s="27"/>
      <c r="V80" s="61">
        <v>41630</v>
      </c>
      <c r="W80" s="95"/>
      <c r="X80" s="59"/>
    </row>
    <row r="81" spans="2:24" hidden="1">
      <c r="B81" s="58"/>
      <c r="C81" s="27"/>
      <c r="D81" s="27"/>
      <c r="E81" s="27"/>
      <c r="F81" s="27"/>
      <c r="G81" s="27"/>
      <c r="H81" s="60"/>
      <c r="I81" s="21"/>
      <c r="J81" s="97">
        <v>1</v>
      </c>
      <c r="K81" s="167">
        <v>1</v>
      </c>
      <c r="L81" s="167">
        <v>5</v>
      </c>
      <c r="M81" s="167">
        <v>2</v>
      </c>
      <c r="N81" s="167">
        <v>6</v>
      </c>
      <c r="O81" s="167">
        <v>3</v>
      </c>
      <c r="P81" s="167">
        <v>7</v>
      </c>
      <c r="Q81" s="168">
        <v>4</v>
      </c>
      <c r="R81" s="29"/>
      <c r="S81" s="25"/>
      <c r="T81" s="27"/>
      <c r="U81" s="27"/>
      <c r="V81" s="61">
        <v>41631</v>
      </c>
      <c r="W81" s="95"/>
      <c r="X81" s="59"/>
    </row>
    <row r="82" spans="2:24" hidden="1">
      <c r="B82" s="58"/>
      <c r="C82" s="27"/>
      <c r="D82" s="27"/>
      <c r="E82" s="27"/>
      <c r="F82" s="27"/>
      <c r="G82" s="27"/>
      <c r="H82" s="60"/>
      <c r="I82" s="21"/>
      <c r="J82" s="97">
        <v>2</v>
      </c>
      <c r="K82" s="167">
        <v>2</v>
      </c>
      <c r="L82" s="167">
        <v>6</v>
      </c>
      <c r="M82" s="167">
        <v>3</v>
      </c>
      <c r="N82" s="167">
        <v>7</v>
      </c>
      <c r="O82" s="167">
        <v>4</v>
      </c>
      <c r="P82" s="167">
        <v>1</v>
      </c>
      <c r="Q82" s="168">
        <v>5</v>
      </c>
      <c r="R82" s="29"/>
      <c r="S82" s="25"/>
      <c r="T82" s="27"/>
      <c r="U82" s="27"/>
      <c r="V82" s="61">
        <v>41632</v>
      </c>
      <c r="W82" s="95"/>
      <c r="X82" s="59"/>
    </row>
    <row r="83" spans="2:24" hidden="1">
      <c r="B83" s="58"/>
      <c r="C83" s="27"/>
      <c r="D83" s="27"/>
      <c r="E83" s="27"/>
      <c r="F83" s="27"/>
      <c r="G83" s="27"/>
      <c r="H83" s="60"/>
      <c r="I83" s="21"/>
      <c r="J83" s="97">
        <v>3</v>
      </c>
      <c r="K83" s="167">
        <v>3</v>
      </c>
      <c r="L83" s="167">
        <v>7</v>
      </c>
      <c r="M83" s="167">
        <v>4</v>
      </c>
      <c r="N83" s="167">
        <v>1</v>
      </c>
      <c r="O83" s="167">
        <v>5</v>
      </c>
      <c r="P83" s="167">
        <v>2</v>
      </c>
      <c r="Q83" s="168">
        <v>6</v>
      </c>
      <c r="R83" s="29"/>
      <c r="S83" s="25"/>
      <c r="T83" s="27"/>
      <c r="U83" s="27"/>
      <c r="V83" s="61">
        <v>41633</v>
      </c>
      <c r="W83" s="95"/>
      <c r="X83" s="59"/>
    </row>
    <row r="84" spans="2:24" ht="15" hidden="1" thickBot="1">
      <c r="B84" s="58"/>
      <c r="C84" s="27"/>
      <c r="D84" s="27"/>
      <c r="E84" s="27"/>
      <c r="F84" s="27"/>
      <c r="G84" s="27"/>
      <c r="H84" s="60"/>
      <c r="I84" s="21"/>
      <c r="J84" s="104">
        <v>4</v>
      </c>
      <c r="K84" s="169">
        <v>4</v>
      </c>
      <c r="L84" s="169">
        <v>1</v>
      </c>
      <c r="M84" s="169">
        <v>5</v>
      </c>
      <c r="N84" s="169">
        <v>2</v>
      </c>
      <c r="O84" s="169">
        <v>6</v>
      </c>
      <c r="P84" s="169">
        <v>3</v>
      </c>
      <c r="Q84" s="170">
        <v>7</v>
      </c>
      <c r="R84" s="29"/>
      <c r="S84" s="25"/>
      <c r="T84" s="27"/>
      <c r="U84" s="27"/>
      <c r="V84" s="61">
        <v>41634</v>
      </c>
      <c r="W84" s="95"/>
      <c r="X84" s="59"/>
    </row>
    <row r="85" spans="2:24" hidden="1">
      <c r="B85" s="58"/>
      <c r="C85" s="27"/>
      <c r="D85" s="27"/>
      <c r="E85" s="27"/>
      <c r="F85" s="27"/>
      <c r="G85" s="27"/>
      <c r="H85" s="60"/>
      <c r="I85" s="21"/>
      <c r="J85" s="21"/>
      <c r="K85" s="21"/>
      <c r="L85" s="21"/>
      <c r="M85" s="21"/>
      <c r="N85" s="21"/>
      <c r="O85" s="21"/>
      <c r="P85" s="21"/>
      <c r="Q85" s="21"/>
      <c r="R85" s="29"/>
      <c r="S85" s="25"/>
      <c r="T85" s="27"/>
      <c r="U85" s="27"/>
      <c r="V85" s="61">
        <v>41635</v>
      </c>
      <c r="W85" s="95"/>
      <c r="X85" s="59"/>
    </row>
    <row r="86" spans="2:24" ht="15" hidden="1" thickBot="1">
      <c r="B86" s="58"/>
      <c r="C86" s="27"/>
      <c r="D86" s="27"/>
      <c r="E86" s="27"/>
      <c r="F86" s="27"/>
      <c r="G86" s="27"/>
      <c r="H86" s="60"/>
      <c r="I86" s="21"/>
      <c r="J86" s="136" t="s">
        <v>74</v>
      </c>
      <c r="K86" s="137"/>
      <c r="L86" s="137"/>
      <c r="M86" s="137"/>
      <c r="N86" s="137"/>
      <c r="O86" s="137"/>
      <c r="P86" s="137"/>
      <c r="Q86" s="138"/>
      <c r="R86" s="29"/>
      <c r="S86" s="25"/>
      <c r="T86" s="27"/>
      <c r="U86" s="27"/>
      <c r="V86" s="61">
        <v>41636</v>
      </c>
      <c r="W86" s="95"/>
      <c r="X86" s="59"/>
    </row>
    <row r="87" spans="2:24" hidden="1">
      <c r="B87" s="58"/>
      <c r="C87" s="27"/>
      <c r="D87" s="27"/>
      <c r="E87" s="27"/>
      <c r="F87" s="27"/>
      <c r="G87" s="27"/>
      <c r="H87" s="60"/>
      <c r="I87" s="21"/>
      <c r="J87" s="99" t="s">
        <v>17</v>
      </c>
      <c r="K87" s="100" t="s">
        <v>18</v>
      </c>
      <c r="L87" s="100" t="s">
        <v>19</v>
      </c>
      <c r="M87" s="100" t="s">
        <v>20</v>
      </c>
      <c r="N87" s="100" t="s">
        <v>21</v>
      </c>
      <c r="O87" s="100" t="s">
        <v>22</v>
      </c>
      <c r="P87" s="100" t="s">
        <v>23</v>
      </c>
      <c r="Q87" s="101" t="s">
        <v>24</v>
      </c>
      <c r="R87" s="29"/>
      <c r="S87" s="25"/>
      <c r="T87" s="27"/>
      <c r="U87" s="27"/>
      <c r="V87" s="61">
        <v>41637</v>
      </c>
      <c r="W87" s="95"/>
      <c r="X87" s="59"/>
    </row>
    <row r="88" spans="2:24" hidden="1">
      <c r="B88" s="58"/>
      <c r="C88" s="27"/>
      <c r="D88" s="27"/>
      <c r="E88" s="27"/>
      <c r="F88" s="27"/>
      <c r="G88" s="27"/>
      <c r="H88" s="60"/>
      <c r="I88" s="21"/>
      <c r="J88" s="97">
        <v>1</v>
      </c>
      <c r="K88" s="171">
        <f t="shared" ref="K88:Q91" si="3">IF(INDEX($K$10:$Q$16, K81, K$80)&lt;&gt;0, 8, K81)</f>
        <v>1</v>
      </c>
      <c r="L88" s="171">
        <f t="shared" si="3"/>
        <v>5</v>
      </c>
      <c r="M88" s="171">
        <f t="shared" si="3"/>
        <v>2</v>
      </c>
      <c r="N88" s="171">
        <f t="shared" si="3"/>
        <v>6</v>
      </c>
      <c r="O88" s="171">
        <f t="shared" si="3"/>
        <v>3</v>
      </c>
      <c r="P88" s="171">
        <f t="shared" si="3"/>
        <v>8</v>
      </c>
      <c r="Q88" s="171">
        <f t="shared" si="3"/>
        <v>4</v>
      </c>
      <c r="R88" s="29"/>
      <c r="S88" s="25"/>
      <c r="T88" s="27"/>
      <c r="U88" s="27"/>
      <c r="V88" s="61">
        <v>41638</v>
      </c>
      <c r="W88" s="95"/>
      <c r="X88" s="59"/>
    </row>
    <row r="89" spans="2:24" hidden="1">
      <c r="B89" s="58"/>
      <c r="C89" s="27"/>
      <c r="D89" s="27"/>
      <c r="E89" s="27"/>
      <c r="F89" s="27"/>
      <c r="G89" s="27"/>
      <c r="H89" s="60"/>
      <c r="I89" s="21"/>
      <c r="J89" s="97">
        <v>2</v>
      </c>
      <c r="K89" s="171">
        <f t="shared" si="3"/>
        <v>2</v>
      </c>
      <c r="L89" s="171">
        <f t="shared" si="3"/>
        <v>6</v>
      </c>
      <c r="M89" s="171">
        <f t="shared" si="3"/>
        <v>3</v>
      </c>
      <c r="N89" s="171">
        <f t="shared" si="3"/>
        <v>7</v>
      </c>
      <c r="O89" s="171">
        <f t="shared" si="3"/>
        <v>4</v>
      </c>
      <c r="P89" s="171">
        <f t="shared" si="3"/>
        <v>1</v>
      </c>
      <c r="Q89" s="171">
        <f t="shared" si="3"/>
        <v>5</v>
      </c>
      <c r="R89" s="29"/>
      <c r="S89" s="25"/>
      <c r="T89" s="27"/>
      <c r="U89" s="27"/>
      <c r="V89" s="61">
        <v>41639</v>
      </c>
      <c r="W89" s="95"/>
      <c r="X89" s="59"/>
    </row>
    <row r="90" spans="2:24" hidden="1">
      <c r="B90" s="58"/>
      <c r="C90" s="27"/>
      <c r="D90" s="27"/>
      <c r="E90" s="27"/>
      <c r="F90" s="27"/>
      <c r="G90" s="27"/>
      <c r="H90" s="60"/>
      <c r="I90" s="21"/>
      <c r="J90" s="97">
        <v>3</v>
      </c>
      <c r="K90" s="171">
        <f t="shared" si="3"/>
        <v>3</v>
      </c>
      <c r="L90" s="171">
        <f t="shared" si="3"/>
        <v>8</v>
      </c>
      <c r="M90" s="171">
        <f t="shared" si="3"/>
        <v>4</v>
      </c>
      <c r="N90" s="171">
        <f t="shared" si="3"/>
        <v>1</v>
      </c>
      <c r="O90" s="171">
        <f t="shared" si="3"/>
        <v>5</v>
      </c>
      <c r="P90" s="171">
        <f t="shared" si="3"/>
        <v>2</v>
      </c>
      <c r="Q90" s="171">
        <f t="shared" si="3"/>
        <v>6</v>
      </c>
      <c r="R90" s="29"/>
      <c r="S90" s="25"/>
      <c r="T90" s="27"/>
      <c r="U90" s="27"/>
      <c r="V90" s="61">
        <v>41640</v>
      </c>
      <c r="W90" s="95"/>
      <c r="X90" s="59"/>
    </row>
    <row r="91" spans="2:24" ht="15" hidden="1" thickBot="1">
      <c r="B91" s="58"/>
      <c r="C91" s="27"/>
      <c r="D91" s="27"/>
      <c r="E91" s="27"/>
      <c r="F91" s="27"/>
      <c r="G91" s="27"/>
      <c r="H91" s="60"/>
      <c r="I91" s="21"/>
      <c r="J91" s="104">
        <v>4</v>
      </c>
      <c r="K91" s="171">
        <f t="shared" si="3"/>
        <v>4</v>
      </c>
      <c r="L91" s="171">
        <f t="shared" si="3"/>
        <v>1</v>
      </c>
      <c r="M91" s="171">
        <f t="shared" si="3"/>
        <v>5</v>
      </c>
      <c r="N91" s="171">
        <f t="shared" si="3"/>
        <v>2</v>
      </c>
      <c r="O91" s="171">
        <f t="shared" si="3"/>
        <v>6</v>
      </c>
      <c r="P91" s="171">
        <f t="shared" si="3"/>
        <v>3</v>
      </c>
      <c r="Q91" s="171">
        <f t="shared" si="3"/>
        <v>7</v>
      </c>
      <c r="R91" s="29"/>
      <c r="S91" s="25"/>
      <c r="T91" s="27"/>
      <c r="U91" s="27"/>
      <c r="V91" s="61">
        <v>41641</v>
      </c>
      <c r="W91" s="95"/>
      <c r="X91" s="59"/>
    </row>
    <row r="92" spans="2:24" hidden="1">
      <c r="B92" s="58"/>
      <c r="C92" s="27"/>
      <c r="D92" s="27"/>
      <c r="E92" s="27"/>
      <c r="F92" s="27"/>
      <c r="G92" s="27"/>
      <c r="H92" s="60"/>
      <c r="I92" s="21"/>
      <c r="J92" s="21"/>
      <c r="K92" s="21"/>
      <c r="L92" s="21"/>
      <c r="M92" s="21"/>
      <c r="N92" s="21"/>
      <c r="O92" s="21"/>
      <c r="P92" s="21"/>
      <c r="Q92" s="21"/>
      <c r="R92" s="29"/>
      <c r="S92" s="25"/>
      <c r="T92" s="27"/>
      <c r="U92" s="27"/>
      <c r="V92" s="61">
        <v>41642</v>
      </c>
      <c r="W92" s="95"/>
      <c r="X92" s="59"/>
    </row>
    <row r="93" spans="2:24" hidden="1">
      <c r="B93" s="58"/>
      <c r="C93" s="27"/>
      <c r="D93" s="27"/>
      <c r="E93" s="27"/>
      <c r="F93" s="27"/>
      <c r="G93" s="27"/>
      <c r="H93" s="60"/>
      <c r="I93" s="21"/>
      <c r="J93" s="21"/>
      <c r="K93" s="21"/>
      <c r="L93" s="21"/>
      <c r="M93" s="21"/>
      <c r="N93" s="21"/>
      <c r="O93" s="21"/>
      <c r="P93" s="21"/>
      <c r="Q93" s="21"/>
      <c r="R93" s="29"/>
      <c r="S93" s="25"/>
      <c r="T93" s="27"/>
      <c r="U93" s="27"/>
      <c r="V93" s="61">
        <v>41643</v>
      </c>
      <c r="W93" s="95"/>
      <c r="X93" s="59"/>
    </row>
    <row r="94" spans="2:24" hidden="1">
      <c r="B94" s="58"/>
      <c r="C94" s="27"/>
      <c r="D94" s="27"/>
      <c r="E94" s="27"/>
      <c r="F94" s="27"/>
      <c r="G94" s="27"/>
      <c r="H94" s="60"/>
      <c r="I94" s="21"/>
      <c r="J94" s="21"/>
      <c r="K94" s="21"/>
      <c r="L94" s="21"/>
      <c r="M94" s="21"/>
      <c r="N94" s="21"/>
      <c r="O94" s="21"/>
      <c r="P94" s="21"/>
      <c r="Q94" s="21"/>
      <c r="R94" s="29"/>
      <c r="S94" s="25"/>
      <c r="T94" s="27"/>
      <c r="U94" s="27"/>
      <c r="V94" s="61">
        <v>41644</v>
      </c>
      <c r="W94" s="95"/>
      <c r="X94" s="59"/>
    </row>
    <row r="95" spans="2:24" hidden="1">
      <c r="B95" s="58"/>
      <c r="C95" s="27"/>
      <c r="D95" s="27"/>
      <c r="E95" s="27"/>
      <c r="F95" s="27"/>
      <c r="G95" s="27"/>
      <c r="H95" s="60"/>
      <c r="I95" s="21"/>
      <c r="J95" s="21"/>
      <c r="K95" s="21"/>
      <c r="L95" s="21"/>
      <c r="M95" s="21"/>
      <c r="N95" s="21"/>
      <c r="O95" s="21"/>
      <c r="P95" s="21"/>
      <c r="Q95" s="21"/>
      <c r="R95" s="29"/>
      <c r="S95" s="25"/>
      <c r="T95" s="27"/>
      <c r="U95" s="27"/>
      <c r="V95" s="61">
        <v>41659</v>
      </c>
      <c r="W95" s="95"/>
      <c r="X95" s="59"/>
    </row>
    <row r="96" spans="2:24" hidden="1">
      <c r="B96" s="58"/>
      <c r="C96" s="27"/>
      <c r="D96" s="27"/>
      <c r="E96" s="27"/>
      <c r="F96" s="27"/>
      <c r="G96" s="27"/>
      <c r="H96" s="60"/>
      <c r="I96" s="21"/>
      <c r="J96" s="21"/>
      <c r="K96" s="21"/>
      <c r="L96" s="21"/>
      <c r="M96" s="21"/>
      <c r="N96" s="21"/>
      <c r="O96" s="21"/>
      <c r="P96" s="21"/>
      <c r="Q96" s="21"/>
      <c r="R96" s="29"/>
      <c r="S96" s="25"/>
      <c r="T96" s="27"/>
      <c r="U96" s="27"/>
      <c r="V96" s="61">
        <v>41687</v>
      </c>
      <c r="W96" s="95"/>
      <c r="X96" s="59"/>
    </row>
    <row r="97" spans="2:24" hidden="1">
      <c r="B97" s="58"/>
      <c r="C97" s="27"/>
      <c r="D97" s="27"/>
      <c r="E97" s="27"/>
      <c r="F97" s="27"/>
      <c r="G97" s="27"/>
      <c r="H97" s="60"/>
      <c r="I97" s="21"/>
      <c r="J97" s="21"/>
      <c r="K97" s="21"/>
      <c r="L97" s="21"/>
      <c r="M97" s="21"/>
      <c r="N97" s="21"/>
      <c r="O97" s="21"/>
      <c r="P97" s="21"/>
      <c r="Q97" s="21"/>
      <c r="R97" s="29"/>
      <c r="S97" s="25"/>
      <c r="T97" s="27"/>
      <c r="U97" s="27"/>
      <c r="V97" s="61">
        <v>41706</v>
      </c>
      <c r="W97" s="95"/>
      <c r="X97" s="59"/>
    </row>
    <row r="98" spans="2:24" hidden="1">
      <c r="B98" s="58"/>
      <c r="C98" s="27"/>
      <c r="D98" s="27"/>
      <c r="E98" s="27"/>
      <c r="F98" s="27"/>
      <c r="G98" s="27"/>
      <c r="H98" s="60"/>
      <c r="I98" s="21"/>
      <c r="J98" s="21"/>
      <c r="K98" s="21"/>
      <c r="L98" s="21"/>
      <c r="M98" s="21"/>
      <c r="N98" s="21"/>
      <c r="O98" s="21"/>
      <c r="P98" s="21"/>
      <c r="Q98" s="21"/>
      <c r="R98" s="29"/>
      <c r="S98" s="25"/>
      <c r="T98" s="27"/>
      <c r="U98" s="27"/>
      <c r="V98" s="61">
        <v>41707</v>
      </c>
      <c r="W98" s="95"/>
      <c r="X98" s="59"/>
    </row>
    <row r="99" spans="2:24" hidden="1">
      <c r="B99" s="58"/>
      <c r="C99" s="27"/>
      <c r="D99" s="27"/>
      <c r="E99" s="27"/>
      <c r="F99" s="27"/>
      <c r="G99" s="27"/>
      <c r="H99" s="60"/>
      <c r="I99" s="21"/>
      <c r="J99" s="21"/>
      <c r="K99" s="21"/>
      <c r="L99" s="21"/>
      <c r="M99" s="21"/>
      <c r="N99" s="21"/>
      <c r="O99" s="21"/>
      <c r="P99" s="21"/>
      <c r="Q99" s="21"/>
      <c r="R99" s="29"/>
      <c r="S99" s="25"/>
      <c r="T99" s="27"/>
      <c r="U99" s="27"/>
      <c r="V99" s="61">
        <v>41708</v>
      </c>
      <c r="W99" s="95"/>
      <c r="X99" s="59"/>
    </row>
    <row r="100" spans="2:24" hidden="1">
      <c r="B100" s="58"/>
      <c r="C100" s="27"/>
      <c r="D100" s="27"/>
      <c r="E100" s="27"/>
      <c r="F100" s="27"/>
      <c r="G100" s="27"/>
      <c r="H100" s="60"/>
      <c r="I100" s="21"/>
      <c r="J100" s="21"/>
      <c r="K100" s="21"/>
      <c r="L100" s="21"/>
      <c r="M100" s="21"/>
      <c r="N100" s="21"/>
      <c r="O100" s="21"/>
      <c r="P100" s="21"/>
      <c r="Q100" s="21"/>
      <c r="R100" s="29"/>
      <c r="S100" s="25"/>
      <c r="T100" s="27"/>
      <c r="U100" s="27"/>
      <c r="V100" s="61">
        <v>41709</v>
      </c>
      <c r="W100" s="95"/>
      <c r="X100" s="59"/>
    </row>
    <row r="101" spans="2:24" hidden="1">
      <c r="B101" s="58"/>
      <c r="C101" s="27"/>
      <c r="D101" s="27"/>
      <c r="E101" s="27"/>
      <c r="F101" s="27"/>
      <c r="G101" s="27"/>
      <c r="H101" s="60"/>
      <c r="I101" s="21"/>
      <c r="J101" s="21"/>
      <c r="K101" s="21"/>
      <c r="L101" s="21"/>
      <c r="M101" s="21"/>
      <c r="N101" s="21"/>
      <c r="O101" s="21"/>
      <c r="P101" s="21"/>
      <c r="Q101" s="21"/>
      <c r="R101" s="29"/>
      <c r="S101" s="25"/>
      <c r="T101" s="27"/>
      <c r="U101" s="27"/>
      <c r="V101" s="61">
        <v>41710</v>
      </c>
      <c r="W101" s="95"/>
      <c r="X101" s="59"/>
    </row>
    <row r="102" spans="2:24" hidden="1">
      <c r="B102" s="58"/>
      <c r="C102" s="27"/>
      <c r="D102" s="27"/>
      <c r="E102" s="27"/>
      <c r="F102" s="27"/>
      <c r="G102" s="27"/>
      <c r="H102" s="60"/>
      <c r="I102" s="21"/>
      <c r="J102" s="21"/>
      <c r="K102" s="21"/>
      <c r="L102" s="21"/>
      <c r="M102" s="21"/>
      <c r="N102" s="21"/>
      <c r="O102" s="21"/>
      <c r="P102" s="21"/>
      <c r="Q102" s="21"/>
      <c r="R102" s="29"/>
      <c r="S102" s="25"/>
      <c r="T102" s="27"/>
      <c r="U102" s="27"/>
      <c r="V102" s="61">
        <v>41711</v>
      </c>
      <c r="W102" s="95"/>
      <c r="X102" s="59"/>
    </row>
    <row r="103" spans="2:24" hidden="1">
      <c r="B103" s="58"/>
      <c r="C103" s="27"/>
      <c r="D103" s="27"/>
      <c r="E103" s="27"/>
      <c r="F103" s="27"/>
      <c r="G103" s="27"/>
      <c r="H103" s="60"/>
      <c r="I103" s="21"/>
      <c r="J103" s="21"/>
      <c r="K103" s="21"/>
      <c r="L103" s="21"/>
      <c r="M103" s="21"/>
      <c r="N103" s="21"/>
      <c r="O103" s="21"/>
      <c r="P103" s="21"/>
      <c r="Q103" s="21"/>
      <c r="R103" s="29"/>
      <c r="S103" s="25"/>
      <c r="T103" s="27"/>
      <c r="U103" s="27"/>
      <c r="V103" s="61">
        <v>41712</v>
      </c>
      <c r="W103" s="95"/>
      <c r="X103" s="59"/>
    </row>
    <row r="104" spans="2:24" hidden="1">
      <c r="B104" s="58"/>
      <c r="C104" s="27"/>
      <c r="D104" s="27"/>
      <c r="E104" s="27"/>
      <c r="F104" s="27"/>
      <c r="G104" s="27"/>
      <c r="H104" s="60"/>
      <c r="I104" s="21"/>
      <c r="J104" s="21"/>
      <c r="K104" s="21"/>
      <c r="L104" s="21"/>
      <c r="M104" s="21"/>
      <c r="N104" s="21"/>
      <c r="O104" s="21"/>
      <c r="P104" s="21"/>
      <c r="Q104" s="21"/>
      <c r="R104" s="29"/>
      <c r="S104" s="25"/>
      <c r="T104" s="27"/>
      <c r="U104" s="27"/>
      <c r="V104" s="61">
        <v>41713</v>
      </c>
      <c r="W104" s="95"/>
      <c r="X104" s="59"/>
    </row>
    <row r="105" spans="2:24" hidden="1">
      <c r="B105" s="58"/>
      <c r="C105" s="27"/>
      <c r="D105" s="27"/>
      <c r="E105" s="27"/>
      <c r="F105" s="27"/>
      <c r="G105" s="27"/>
      <c r="H105" s="60"/>
      <c r="I105" s="21"/>
      <c r="J105" s="21"/>
      <c r="K105" s="21"/>
      <c r="L105" s="21"/>
      <c r="M105" s="21"/>
      <c r="N105" s="21"/>
      <c r="O105" s="21"/>
      <c r="P105" s="21"/>
      <c r="Q105" s="21"/>
      <c r="R105" s="29"/>
      <c r="S105" s="25"/>
      <c r="T105" s="27"/>
      <c r="U105" s="27"/>
      <c r="V105" s="61">
        <v>41714</v>
      </c>
      <c r="W105" s="95"/>
      <c r="X105" s="59"/>
    </row>
    <row r="106" spans="2:24" hidden="1">
      <c r="B106" s="58"/>
      <c r="C106" s="27"/>
      <c r="D106" s="27"/>
      <c r="E106" s="27"/>
      <c r="F106" s="27"/>
      <c r="G106" s="27"/>
      <c r="H106" s="60"/>
      <c r="I106" s="21"/>
      <c r="J106" s="21"/>
      <c r="K106" s="21"/>
      <c r="L106" s="21"/>
      <c r="M106" s="21"/>
      <c r="N106" s="21"/>
      <c r="O106" s="21"/>
      <c r="P106" s="21"/>
      <c r="Q106" s="21"/>
      <c r="R106" s="29"/>
      <c r="S106" s="25"/>
      <c r="T106" s="27"/>
      <c r="U106" s="27"/>
      <c r="V106" s="61">
        <v>41747</v>
      </c>
      <c r="W106" s="95"/>
      <c r="X106" s="59"/>
    </row>
    <row r="107" spans="2:24" hidden="1">
      <c r="B107" s="58"/>
      <c r="C107" s="27"/>
      <c r="D107" s="27"/>
      <c r="E107" s="27"/>
      <c r="F107" s="27"/>
      <c r="G107" s="27"/>
      <c r="H107" s="60"/>
      <c r="I107" s="21"/>
      <c r="J107" s="21"/>
      <c r="K107" s="21"/>
      <c r="L107" s="21"/>
      <c r="M107" s="21"/>
      <c r="N107" s="21"/>
      <c r="O107" s="21"/>
      <c r="P107" s="21"/>
      <c r="Q107" s="21"/>
      <c r="R107" s="29"/>
      <c r="S107" s="25"/>
      <c r="T107" s="27"/>
      <c r="U107" s="27"/>
      <c r="V107" s="61">
        <v>41748</v>
      </c>
      <c r="W107" s="95"/>
      <c r="X107" s="59"/>
    </row>
    <row r="108" spans="2:24" hidden="1">
      <c r="B108" s="58"/>
      <c r="C108" s="27"/>
      <c r="D108" s="27"/>
      <c r="E108" s="27"/>
      <c r="F108" s="27"/>
      <c r="G108" s="27"/>
      <c r="H108" s="60"/>
      <c r="I108" s="21"/>
      <c r="J108" s="21"/>
      <c r="K108" s="21"/>
      <c r="L108" s="21"/>
      <c r="M108" s="21"/>
      <c r="N108" s="21"/>
      <c r="O108" s="21"/>
      <c r="P108" s="21"/>
      <c r="Q108" s="21"/>
      <c r="R108" s="29"/>
      <c r="S108" s="25"/>
      <c r="T108" s="27"/>
      <c r="U108" s="27"/>
      <c r="V108" s="61">
        <v>41749</v>
      </c>
      <c r="W108" s="95"/>
      <c r="X108" s="59"/>
    </row>
    <row r="109" spans="2:24" hidden="1">
      <c r="B109" s="58"/>
      <c r="C109" s="27"/>
      <c r="D109" s="27"/>
      <c r="E109" s="27"/>
      <c r="F109" s="27"/>
      <c r="G109" s="27"/>
      <c r="H109" s="60"/>
      <c r="I109" s="21"/>
      <c r="J109" s="21"/>
      <c r="K109" s="21"/>
      <c r="L109" s="21"/>
      <c r="M109" s="21"/>
      <c r="N109" s="21"/>
      <c r="O109" s="21"/>
      <c r="P109" s="21"/>
      <c r="Q109" s="21"/>
      <c r="R109" s="29"/>
      <c r="S109" s="25"/>
      <c r="T109" s="27"/>
      <c r="U109" s="27"/>
      <c r="V109" s="61">
        <v>41750</v>
      </c>
      <c r="W109" s="95"/>
      <c r="X109" s="59"/>
    </row>
    <row r="110" spans="2:24" hidden="1">
      <c r="B110" s="58"/>
      <c r="C110" s="27"/>
      <c r="D110" s="27"/>
      <c r="E110" s="27"/>
      <c r="F110" s="27"/>
      <c r="G110" s="27"/>
      <c r="H110" s="60"/>
      <c r="I110" s="21"/>
      <c r="J110" s="21"/>
      <c r="K110" s="21"/>
      <c r="L110" s="21"/>
      <c r="M110" s="21"/>
      <c r="N110" s="21"/>
      <c r="O110" s="21"/>
      <c r="P110" s="21"/>
      <c r="Q110" s="21"/>
      <c r="R110" s="29"/>
      <c r="S110" s="25"/>
      <c r="T110" s="27"/>
      <c r="U110" s="27"/>
      <c r="V110" s="172"/>
      <c r="W110" s="95"/>
      <c r="X110" s="59"/>
    </row>
    <row r="111" spans="2:24" hidden="1">
      <c r="B111" s="58"/>
      <c r="C111" s="27"/>
      <c r="D111" s="27"/>
      <c r="E111" s="27"/>
      <c r="F111" s="27"/>
      <c r="G111" s="27"/>
      <c r="H111" s="60"/>
      <c r="I111" s="21"/>
      <c r="J111" s="21"/>
      <c r="K111" s="21"/>
      <c r="L111" s="21"/>
      <c r="M111" s="21"/>
      <c r="N111" s="21"/>
      <c r="O111" s="21"/>
      <c r="P111" s="21"/>
      <c r="Q111" s="21"/>
      <c r="R111" s="29"/>
      <c r="S111" s="25"/>
      <c r="T111" s="27"/>
      <c r="U111" s="27"/>
      <c r="V111" s="172"/>
      <c r="W111" s="95"/>
      <c r="X111" s="59"/>
    </row>
    <row r="112" spans="2:24" hidden="1">
      <c r="B112" s="58"/>
      <c r="C112" s="27"/>
      <c r="D112" s="27"/>
      <c r="E112" s="27"/>
      <c r="F112" s="27"/>
      <c r="G112" s="27"/>
      <c r="H112" s="60"/>
      <c r="I112" s="21"/>
      <c r="J112" s="21"/>
      <c r="K112" s="21"/>
      <c r="L112" s="21"/>
      <c r="M112" s="21"/>
      <c r="N112" s="21"/>
      <c r="O112" s="21"/>
      <c r="P112" s="21"/>
      <c r="Q112" s="21"/>
      <c r="R112" s="29"/>
      <c r="S112" s="25"/>
      <c r="T112" s="27"/>
      <c r="U112" s="27"/>
      <c r="V112" s="172"/>
      <c r="W112" s="95"/>
      <c r="X112" s="59"/>
    </row>
    <row r="113" spans="2:24" hidden="1">
      <c r="B113" s="58"/>
      <c r="C113" s="27"/>
      <c r="D113" s="27"/>
      <c r="E113" s="27"/>
      <c r="F113" s="27"/>
      <c r="G113" s="27"/>
      <c r="H113" s="60"/>
      <c r="I113" s="21"/>
      <c r="J113" s="21"/>
      <c r="K113" s="21"/>
      <c r="L113" s="21"/>
      <c r="M113" s="21"/>
      <c r="N113" s="21"/>
      <c r="O113" s="21"/>
      <c r="P113" s="21"/>
      <c r="Q113" s="21"/>
      <c r="R113" s="29"/>
      <c r="S113" s="25"/>
      <c r="T113" s="27"/>
      <c r="U113" s="27"/>
      <c r="V113" s="172"/>
      <c r="W113" s="95"/>
      <c r="X113" s="59"/>
    </row>
    <row r="114" spans="2:24" hidden="1">
      <c r="B114" s="58"/>
      <c r="C114" s="27"/>
      <c r="D114" s="27"/>
      <c r="E114" s="27"/>
      <c r="F114" s="27"/>
      <c r="G114" s="27"/>
      <c r="H114" s="60"/>
      <c r="I114" s="21"/>
      <c r="J114" s="21"/>
      <c r="K114" s="21"/>
      <c r="L114" s="21"/>
      <c r="M114" s="21"/>
      <c r="N114" s="21"/>
      <c r="O114" s="21"/>
      <c r="P114" s="21"/>
      <c r="Q114" s="21"/>
      <c r="R114" s="29"/>
      <c r="S114" s="25"/>
      <c r="T114" s="27"/>
      <c r="U114" s="27"/>
      <c r="V114" s="172"/>
      <c r="W114" s="95"/>
      <c r="X114" s="59"/>
    </row>
    <row r="115" spans="2:24" hidden="1">
      <c r="B115" s="58"/>
      <c r="C115" s="27"/>
      <c r="D115" s="27"/>
      <c r="E115" s="27"/>
      <c r="F115" s="27"/>
      <c r="G115" s="27"/>
      <c r="H115" s="60"/>
      <c r="I115" s="21"/>
      <c r="J115" s="21"/>
      <c r="K115" s="21"/>
      <c r="L115" s="21"/>
      <c r="M115" s="21"/>
      <c r="N115" s="21"/>
      <c r="O115" s="21"/>
      <c r="P115" s="21"/>
      <c r="Q115" s="21"/>
      <c r="R115" s="29"/>
      <c r="S115" s="25"/>
      <c r="T115" s="27"/>
      <c r="U115" s="27"/>
      <c r="V115" s="172"/>
      <c r="W115" s="95"/>
      <c r="X115" s="59"/>
    </row>
    <row r="116" spans="2:24" hidden="1">
      <c r="B116" s="58"/>
      <c r="C116" s="27"/>
      <c r="D116" s="27"/>
      <c r="E116" s="27"/>
      <c r="F116" s="27"/>
      <c r="G116" s="27"/>
      <c r="H116" s="60"/>
      <c r="I116" s="21"/>
      <c r="J116" s="21"/>
      <c r="K116" s="21"/>
      <c r="L116" s="21"/>
      <c r="M116" s="21"/>
      <c r="N116" s="21"/>
      <c r="O116" s="21"/>
      <c r="P116" s="21"/>
      <c r="Q116" s="21"/>
      <c r="R116" s="29"/>
      <c r="S116" s="25"/>
      <c r="T116" s="27"/>
      <c r="U116" s="27"/>
      <c r="V116" s="172"/>
      <c r="W116" s="95"/>
      <c r="X116" s="59"/>
    </row>
    <row r="117" spans="2:24" hidden="1">
      <c r="B117" s="58"/>
      <c r="C117" s="27"/>
      <c r="D117" s="27"/>
      <c r="E117" s="27"/>
      <c r="F117" s="27"/>
      <c r="G117" s="27"/>
      <c r="H117" s="60"/>
      <c r="I117" s="21"/>
      <c r="J117" s="21"/>
      <c r="K117" s="21"/>
      <c r="L117" s="21"/>
      <c r="M117" s="21"/>
      <c r="N117" s="21"/>
      <c r="O117" s="21"/>
      <c r="P117" s="21"/>
      <c r="Q117" s="21"/>
      <c r="R117" s="29"/>
      <c r="S117" s="25"/>
      <c r="T117" s="27"/>
      <c r="U117" s="27"/>
      <c r="V117" s="172"/>
      <c r="W117" s="95"/>
      <c r="X117" s="59"/>
    </row>
    <row r="118" spans="2:24" hidden="1">
      <c r="B118" s="58"/>
      <c r="C118" s="27"/>
      <c r="D118" s="27"/>
      <c r="E118" s="27"/>
      <c r="F118" s="27"/>
      <c r="G118" s="27"/>
      <c r="H118" s="60"/>
      <c r="I118" s="21"/>
      <c r="J118" s="21"/>
      <c r="K118" s="21"/>
      <c r="L118" s="21"/>
      <c r="M118" s="21"/>
      <c r="N118" s="21"/>
      <c r="O118" s="21"/>
      <c r="P118" s="21"/>
      <c r="Q118" s="21"/>
      <c r="R118" s="29"/>
      <c r="S118" s="25"/>
      <c r="T118" s="27"/>
      <c r="U118" s="27"/>
      <c r="V118" s="172"/>
      <c r="W118" s="95"/>
      <c r="X118" s="59"/>
    </row>
    <row r="119" spans="2:24" hidden="1">
      <c r="B119" s="58"/>
      <c r="C119" s="27"/>
      <c r="D119" s="27"/>
      <c r="E119" s="27"/>
      <c r="F119" s="27"/>
      <c r="G119" s="27"/>
      <c r="H119" s="60"/>
      <c r="I119" s="21"/>
      <c r="J119" s="21"/>
      <c r="K119" s="21"/>
      <c r="L119" s="21"/>
      <c r="M119" s="21"/>
      <c r="N119" s="21"/>
      <c r="O119" s="21"/>
      <c r="P119" s="21"/>
      <c r="Q119" s="21"/>
      <c r="R119" s="29"/>
      <c r="S119" s="25"/>
      <c r="T119" s="27"/>
      <c r="U119" s="27"/>
      <c r="V119" s="172"/>
      <c r="W119" s="95"/>
      <c r="X119" s="59"/>
    </row>
    <row r="120" spans="2:24" hidden="1">
      <c r="B120" s="58"/>
      <c r="C120" s="27"/>
      <c r="D120" s="27"/>
      <c r="E120" s="27"/>
      <c r="F120" s="27"/>
      <c r="G120" s="27"/>
      <c r="H120" s="60"/>
      <c r="I120" s="21"/>
      <c r="J120" s="21"/>
      <c r="K120" s="21"/>
      <c r="L120" s="21"/>
      <c r="M120" s="21"/>
      <c r="N120" s="21"/>
      <c r="O120" s="21"/>
      <c r="P120" s="21"/>
      <c r="Q120" s="21"/>
      <c r="R120" s="29"/>
      <c r="S120" s="25"/>
      <c r="T120" s="27"/>
      <c r="U120" s="27"/>
      <c r="V120" s="172"/>
      <c r="W120" s="95"/>
      <c r="X120" s="59"/>
    </row>
    <row r="121" spans="2:24" hidden="1">
      <c r="B121" s="58"/>
      <c r="C121" s="27"/>
      <c r="D121" s="27"/>
      <c r="E121" s="27"/>
      <c r="F121" s="27"/>
      <c r="G121" s="27"/>
      <c r="H121" s="60"/>
      <c r="I121" s="21"/>
      <c r="J121" s="21"/>
      <c r="K121" s="21"/>
      <c r="L121" s="21"/>
      <c r="M121" s="21"/>
      <c r="N121" s="21"/>
      <c r="O121" s="21"/>
      <c r="P121" s="21"/>
      <c r="Q121" s="21"/>
      <c r="R121" s="29"/>
      <c r="S121" s="25"/>
      <c r="T121" s="27"/>
      <c r="U121" s="27"/>
      <c r="V121" s="172"/>
      <c r="W121" s="95"/>
      <c r="X121" s="59"/>
    </row>
    <row r="122" spans="2:24" hidden="1">
      <c r="B122" s="58"/>
      <c r="C122" s="27"/>
      <c r="D122" s="27"/>
      <c r="E122" s="27"/>
      <c r="F122" s="27"/>
      <c r="G122" s="27"/>
      <c r="H122" s="60"/>
      <c r="I122" s="21"/>
      <c r="J122" s="21"/>
      <c r="K122" s="21"/>
      <c r="L122" s="21"/>
      <c r="M122" s="21"/>
      <c r="N122" s="21"/>
      <c r="O122" s="21"/>
      <c r="P122" s="21"/>
      <c r="Q122" s="21"/>
      <c r="R122" s="29"/>
      <c r="S122" s="25"/>
      <c r="T122" s="27"/>
      <c r="U122" s="27"/>
      <c r="V122" s="172"/>
      <c r="W122" s="95"/>
      <c r="X122" s="59"/>
    </row>
    <row r="123" spans="2:24" ht="15" hidden="1" thickBot="1">
      <c r="B123" s="58"/>
      <c r="C123" s="27"/>
      <c r="D123" s="27"/>
      <c r="E123" s="27"/>
      <c r="F123" s="27"/>
      <c r="G123" s="27"/>
      <c r="H123" s="60"/>
      <c r="I123" s="21"/>
      <c r="J123" s="21"/>
      <c r="K123" s="21"/>
      <c r="L123" s="21"/>
      <c r="M123" s="21"/>
      <c r="N123" s="21"/>
      <c r="O123" s="21"/>
      <c r="P123" s="21"/>
      <c r="Q123" s="21"/>
      <c r="R123" s="29"/>
      <c r="S123" s="25"/>
      <c r="T123" s="27"/>
      <c r="U123" s="27"/>
      <c r="V123" s="173"/>
      <c r="W123" s="95"/>
      <c r="X123" s="59"/>
    </row>
    <row r="124" spans="2:24" hidden="1">
      <c r="B124" s="58"/>
      <c r="C124" s="27"/>
      <c r="D124" s="27"/>
      <c r="E124" s="27"/>
      <c r="F124" s="27"/>
      <c r="G124" s="27"/>
      <c r="H124" s="60"/>
      <c r="I124" s="21"/>
      <c r="J124" s="21"/>
      <c r="K124" s="21"/>
      <c r="L124" s="21"/>
      <c r="M124" s="21"/>
      <c r="N124" s="21"/>
      <c r="O124" s="21"/>
      <c r="P124" s="21"/>
      <c r="Q124" s="21"/>
      <c r="R124" s="29"/>
      <c r="S124" s="25"/>
      <c r="T124" s="27"/>
      <c r="U124" s="27"/>
      <c r="V124" s="27"/>
      <c r="W124" s="27"/>
      <c r="X124" s="59"/>
    </row>
    <row r="125" spans="2:24" hidden="1">
      <c r="B125" s="58"/>
      <c r="C125" s="27"/>
      <c r="D125" s="27"/>
      <c r="E125" s="27"/>
      <c r="F125" s="27"/>
      <c r="G125" s="27"/>
      <c r="H125" s="60"/>
      <c r="I125" s="21"/>
      <c r="J125" s="21"/>
      <c r="K125" s="21"/>
      <c r="L125" s="21"/>
      <c r="M125" s="21"/>
      <c r="N125" s="21"/>
      <c r="O125" s="21"/>
      <c r="P125" s="21"/>
      <c r="Q125" s="21"/>
      <c r="R125" s="29"/>
      <c r="S125" s="25"/>
      <c r="T125" s="27"/>
      <c r="U125" s="27"/>
      <c r="V125" s="27"/>
      <c r="W125" s="27"/>
      <c r="X125" s="59"/>
    </row>
    <row r="126" spans="2:24" ht="15" hidden="1" thickBot="1">
      <c r="B126" s="64"/>
      <c r="C126" s="28"/>
      <c r="D126" s="28"/>
      <c r="E126" s="28"/>
      <c r="F126" s="28"/>
      <c r="G126" s="28"/>
      <c r="H126" s="66"/>
      <c r="I126" s="67"/>
      <c r="J126" s="67"/>
      <c r="K126" s="67"/>
      <c r="L126" s="67"/>
      <c r="M126" s="67"/>
      <c r="N126" s="67"/>
      <c r="O126" s="67"/>
      <c r="P126" s="67"/>
      <c r="Q126" s="67"/>
      <c r="R126" s="68"/>
      <c r="S126" s="69"/>
      <c r="T126" s="28"/>
      <c r="U126" s="28"/>
      <c r="V126" s="28"/>
      <c r="W126" s="28"/>
      <c r="X126" s="65"/>
    </row>
    <row r="127" spans="2:24" hidden="1"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3"/>
      <c r="S127" s="54"/>
      <c r="T127" s="54"/>
      <c r="U127" s="54"/>
      <c r="V127" s="54"/>
      <c r="W127" s="54"/>
      <c r="X127" s="54"/>
    </row>
    <row r="128" spans="2:24"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3"/>
      <c r="S128" s="54"/>
      <c r="T128" s="54"/>
      <c r="U128" s="54"/>
      <c r="V128" s="54"/>
      <c r="W128" s="54"/>
      <c r="X128" s="54"/>
    </row>
    <row r="129" spans="2:24"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3"/>
      <c r="S129" s="54"/>
      <c r="T129" s="54"/>
      <c r="U129" s="54"/>
      <c r="V129" s="54"/>
      <c r="W129" s="54"/>
      <c r="X129" s="54"/>
    </row>
    <row r="130" spans="2:24"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3"/>
      <c r="S130" s="54"/>
      <c r="T130" s="54"/>
      <c r="U130" s="54"/>
      <c r="V130" s="54"/>
      <c r="W130" s="54"/>
      <c r="X130" s="54"/>
    </row>
    <row r="131" spans="2:24"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3"/>
      <c r="S131" s="54"/>
      <c r="T131" s="54"/>
      <c r="U131" s="54"/>
      <c r="V131" s="54"/>
      <c r="W131" s="54"/>
      <c r="X131" s="54"/>
    </row>
    <row r="132" spans="2:24"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3"/>
      <c r="S132" s="54"/>
      <c r="T132" s="54"/>
      <c r="U132" s="54"/>
      <c r="V132" s="54"/>
      <c r="W132" s="54"/>
      <c r="X132" s="54"/>
    </row>
    <row r="133" spans="2:24"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3"/>
      <c r="S133" s="54"/>
      <c r="T133" s="54"/>
      <c r="U133" s="54"/>
      <c r="V133" s="54"/>
      <c r="W133" s="54"/>
      <c r="X133" s="54"/>
    </row>
    <row r="134" spans="2:24"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3"/>
      <c r="S134" s="54"/>
      <c r="T134" s="54"/>
      <c r="U134" s="54"/>
      <c r="V134" s="54"/>
      <c r="W134" s="54"/>
      <c r="X134" s="54"/>
    </row>
    <row r="135" spans="2:24"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3"/>
      <c r="S135" s="54"/>
      <c r="T135" s="54"/>
      <c r="U135" s="54"/>
      <c r="V135" s="54"/>
      <c r="W135" s="54"/>
      <c r="X135" s="54"/>
    </row>
    <row r="136" spans="2:24"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3"/>
      <c r="S136" s="54"/>
      <c r="T136" s="54"/>
      <c r="U136" s="54"/>
      <c r="V136" s="54"/>
      <c r="W136" s="54"/>
      <c r="X136" s="54"/>
    </row>
    <row r="137" spans="2:24"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3"/>
      <c r="S137" s="54"/>
      <c r="T137" s="54"/>
      <c r="U137" s="54"/>
      <c r="V137" s="54"/>
      <c r="W137" s="54"/>
      <c r="X137" s="54"/>
    </row>
    <row r="138" spans="2:24"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3"/>
      <c r="S138" s="54"/>
      <c r="T138" s="54"/>
      <c r="U138" s="54"/>
      <c r="V138" s="54"/>
      <c r="W138" s="54"/>
      <c r="X138" s="54"/>
    </row>
    <row r="139" spans="2:24"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3"/>
      <c r="S139" s="54"/>
      <c r="T139" s="54"/>
      <c r="U139" s="54"/>
      <c r="V139" s="54"/>
      <c r="W139" s="54"/>
      <c r="X139" s="54"/>
    </row>
    <row r="140" spans="2:24"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3"/>
      <c r="S140" s="54"/>
      <c r="T140" s="54"/>
      <c r="U140" s="54"/>
      <c r="V140" s="54"/>
      <c r="W140" s="54"/>
      <c r="X140" s="54"/>
    </row>
    <row r="141" spans="2:24"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3"/>
      <c r="S141" s="54"/>
      <c r="T141" s="54"/>
      <c r="U141" s="54"/>
      <c r="V141" s="54"/>
      <c r="W141" s="54"/>
      <c r="X141" s="54"/>
    </row>
    <row r="142" spans="2:24"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3"/>
      <c r="S142" s="54"/>
      <c r="T142" s="54"/>
      <c r="U142" s="54"/>
      <c r="V142" s="54"/>
      <c r="W142" s="54"/>
      <c r="X142" s="54"/>
    </row>
    <row r="143" spans="2:24"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3"/>
      <c r="S143" s="54"/>
      <c r="T143" s="54"/>
      <c r="U143" s="54"/>
      <c r="V143" s="54"/>
      <c r="W143" s="54"/>
      <c r="X143" s="54"/>
    </row>
    <row r="144" spans="2:24"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3"/>
      <c r="S144" s="54"/>
      <c r="T144" s="54"/>
      <c r="U144" s="54"/>
      <c r="V144" s="54"/>
      <c r="W144" s="54"/>
      <c r="X144" s="54"/>
    </row>
    <row r="145" spans="2:24"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3"/>
      <c r="S145" s="54"/>
      <c r="T145" s="54"/>
      <c r="U145" s="54"/>
      <c r="V145" s="54"/>
      <c r="W145" s="54"/>
      <c r="X145" s="54"/>
    </row>
    <row r="146" spans="2:24"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3"/>
      <c r="S146" s="54"/>
      <c r="T146" s="54"/>
      <c r="U146" s="54"/>
      <c r="V146" s="54"/>
      <c r="W146" s="54"/>
      <c r="X146" s="54"/>
    </row>
    <row r="147" spans="2:24"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3"/>
      <c r="S147" s="54"/>
      <c r="T147" s="54"/>
      <c r="U147" s="54"/>
      <c r="V147" s="54"/>
      <c r="W147" s="54"/>
      <c r="X147" s="54"/>
    </row>
    <row r="148" spans="2:24"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3"/>
      <c r="S148" s="54"/>
      <c r="T148" s="54"/>
      <c r="U148" s="54"/>
      <c r="V148" s="54"/>
      <c r="W148" s="54"/>
      <c r="X148" s="54"/>
    </row>
    <row r="149" spans="2:24"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3"/>
      <c r="S149" s="54"/>
      <c r="T149" s="54"/>
      <c r="U149" s="54"/>
      <c r="V149" s="54"/>
      <c r="W149" s="54"/>
      <c r="X149" s="54"/>
    </row>
    <row r="150" spans="2:24"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3"/>
      <c r="S150" s="54"/>
      <c r="T150" s="54"/>
      <c r="U150" s="54"/>
      <c r="V150" s="54"/>
      <c r="W150" s="54"/>
      <c r="X150" s="54"/>
    </row>
    <row r="151" spans="2:24"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3"/>
      <c r="S151" s="54"/>
      <c r="T151" s="54"/>
      <c r="U151" s="54"/>
      <c r="V151" s="54"/>
      <c r="W151" s="54"/>
      <c r="X151" s="54"/>
    </row>
    <row r="152" spans="2:24"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3"/>
      <c r="S152" s="54"/>
      <c r="T152" s="54"/>
      <c r="U152" s="54"/>
      <c r="V152" s="54"/>
      <c r="W152" s="54"/>
      <c r="X152" s="54"/>
    </row>
    <row r="153" spans="2:24"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3"/>
      <c r="S153" s="54"/>
      <c r="T153" s="54"/>
      <c r="U153" s="54"/>
      <c r="V153" s="54"/>
      <c r="W153" s="54"/>
      <c r="X153" s="54"/>
    </row>
    <row r="154" spans="2:24"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3"/>
      <c r="S154" s="54"/>
      <c r="T154" s="54"/>
      <c r="U154" s="54"/>
      <c r="V154" s="54"/>
      <c r="W154" s="54"/>
      <c r="X154" s="54"/>
    </row>
    <row r="155" spans="2:24"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3"/>
      <c r="S155" s="54"/>
      <c r="T155" s="54"/>
      <c r="U155" s="54"/>
      <c r="V155" s="54"/>
      <c r="W155" s="54"/>
      <c r="X155" s="54"/>
    </row>
    <row r="156" spans="2:24"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3"/>
      <c r="S156" s="54"/>
      <c r="T156" s="54"/>
      <c r="U156" s="54"/>
      <c r="V156" s="54"/>
      <c r="W156" s="54"/>
      <c r="X156" s="54"/>
    </row>
    <row r="157" spans="2:24"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3"/>
      <c r="S157" s="54"/>
      <c r="T157" s="54"/>
      <c r="U157" s="54"/>
      <c r="V157" s="54"/>
      <c r="W157" s="54"/>
      <c r="X157" s="54"/>
    </row>
    <row r="158" spans="2:24"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3"/>
      <c r="S158" s="54"/>
      <c r="T158" s="54"/>
      <c r="U158" s="54"/>
      <c r="V158" s="54"/>
      <c r="W158" s="54"/>
      <c r="X158" s="54"/>
    </row>
    <row r="159" spans="2:24"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3"/>
      <c r="S159" s="54"/>
      <c r="T159" s="54"/>
      <c r="U159" s="54"/>
      <c r="V159" s="54"/>
      <c r="W159" s="54"/>
      <c r="X159" s="54"/>
    </row>
    <row r="160" spans="2:24"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3"/>
      <c r="S160" s="54"/>
      <c r="T160" s="54"/>
      <c r="U160" s="54"/>
      <c r="V160" s="54"/>
      <c r="W160" s="54"/>
      <c r="X160" s="54"/>
    </row>
    <row r="161" spans="2:24"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3"/>
      <c r="S161" s="54"/>
      <c r="T161" s="54"/>
      <c r="U161" s="54"/>
      <c r="V161" s="54"/>
      <c r="W161" s="54"/>
      <c r="X161" s="54"/>
    </row>
    <row r="162" spans="2:24"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3"/>
      <c r="S162" s="54"/>
      <c r="T162" s="54"/>
      <c r="U162" s="54"/>
      <c r="V162" s="54"/>
      <c r="W162" s="54"/>
      <c r="X162" s="54"/>
    </row>
    <row r="163" spans="2:24"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3"/>
      <c r="S163" s="54"/>
      <c r="T163" s="54"/>
      <c r="U163" s="54"/>
      <c r="V163" s="54"/>
      <c r="W163" s="54"/>
      <c r="X163" s="54"/>
    </row>
    <row r="164" spans="2:24"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3"/>
      <c r="S164" s="54"/>
      <c r="T164" s="54"/>
      <c r="U164" s="54"/>
      <c r="V164" s="54"/>
      <c r="W164" s="54"/>
      <c r="X164" s="54"/>
    </row>
    <row r="165" spans="2:24"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3"/>
      <c r="S165" s="54"/>
      <c r="T165" s="54"/>
      <c r="U165" s="54"/>
      <c r="V165" s="54"/>
      <c r="W165" s="54"/>
      <c r="X165" s="54"/>
    </row>
    <row r="166" spans="2:24"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3"/>
      <c r="S166" s="54"/>
      <c r="T166" s="54"/>
      <c r="U166" s="54"/>
      <c r="V166" s="54"/>
      <c r="W166" s="54"/>
      <c r="X166" s="54"/>
    </row>
    <row r="167" spans="2:24"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3"/>
      <c r="S167" s="54"/>
      <c r="T167" s="54"/>
      <c r="U167" s="54"/>
      <c r="V167" s="54"/>
      <c r="W167" s="54"/>
      <c r="X167" s="54"/>
    </row>
    <row r="168" spans="2:24"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3"/>
      <c r="S168" s="54"/>
      <c r="T168" s="54"/>
      <c r="U168" s="54"/>
      <c r="V168" s="54"/>
      <c r="W168" s="54"/>
      <c r="X168" s="54"/>
    </row>
    <row r="169" spans="2:24"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3"/>
      <c r="S169" s="54"/>
      <c r="T169" s="54"/>
      <c r="U169" s="54"/>
      <c r="V169" s="54"/>
      <c r="W169" s="54"/>
      <c r="X169" s="54"/>
    </row>
    <row r="170" spans="2:24"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3"/>
      <c r="S170" s="54"/>
      <c r="T170" s="54"/>
      <c r="U170" s="54"/>
      <c r="V170" s="54"/>
      <c r="W170" s="54"/>
      <c r="X170" s="54"/>
    </row>
    <row r="171" spans="2:24"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3"/>
      <c r="S171" s="54"/>
      <c r="T171" s="54"/>
      <c r="U171" s="54"/>
      <c r="V171" s="54"/>
      <c r="W171" s="54"/>
      <c r="X171" s="54"/>
    </row>
    <row r="172" spans="2:24"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3"/>
      <c r="S172" s="54"/>
      <c r="T172" s="54"/>
      <c r="U172" s="54"/>
      <c r="V172" s="54"/>
      <c r="W172" s="54"/>
      <c r="X172" s="54"/>
    </row>
    <row r="173" spans="2:24"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3"/>
      <c r="S173" s="54"/>
      <c r="T173" s="54"/>
      <c r="U173" s="54"/>
      <c r="V173" s="54"/>
      <c r="W173" s="54"/>
      <c r="X173" s="54"/>
    </row>
    <row r="174" spans="2:24"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3"/>
      <c r="S174" s="54"/>
      <c r="T174" s="54"/>
      <c r="U174" s="54"/>
      <c r="V174" s="54"/>
      <c r="W174" s="54"/>
      <c r="X174" s="54"/>
    </row>
    <row r="175" spans="2:24"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3"/>
      <c r="S175" s="54"/>
      <c r="T175" s="54"/>
      <c r="U175" s="54"/>
      <c r="V175" s="54"/>
      <c r="W175" s="54"/>
      <c r="X175" s="54"/>
    </row>
    <row r="176" spans="2:24"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3"/>
      <c r="S176" s="54"/>
      <c r="T176" s="54"/>
      <c r="U176" s="54"/>
      <c r="V176" s="54"/>
      <c r="W176" s="54"/>
      <c r="X176" s="54"/>
    </row>
    <row r="177" spans="2:24"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3"/>
      <c r="S177" s="54"/>
      <c r="T177" s="54"/>
      <c r="U177" s="54"/>
      <c r="V177" s="54"/>
      <c r="W177" s="54"/>
      <c r="X177" s="54"/>
    </row>
    <row r="178" spans="2:24"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3"/>
      <c r="S178" s="54"/>
      <c r="T178" s="54"/>
      <c r="U178" s="54"/>
      <c r="V178" s="54"/>
      <c r="W178" s="54"/>
      <c r="X178" s="54"/>
    </row>
    <row r="179" spans="2:24"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3"/>
      <c r="S179" s="54"/>
      <c r="T179" s="54"/>
      <c r="U179" s="54"/>
      <c r="V179" s="54"/>
      <c r="W179" s="54"/>
      <c r="X179" s="54"/>
    </row>
    <row r="180" spans="2:24"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3"/>
      <c r="S180" s="54"/>
      <c r="T180" s="54"/>
      <c r="U180" s="54"/>
      <c r="V180" s="54"/>
      <c r="W180" s="54"/>
      <c r="X180" s="54"/>
    </row>
    <row r="181" spans="2:24"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3"/>
      <c r="S181" s="54"/>
      <c r="T181" s="54"/>
      <c r="U181" s="54"/>
      <c r="V181" s="54"/>
      <c r="W181" s="54"/>
      <c r="X181" s="54"/>
    </row>
    <row r="182" spans="2:24"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3"/>
      <c r="S182" s="54"/>
      <c r="T182" s="54"/>
      <c r="U182" s="54"/>
      <c r="V182" s="54"/>
      <c r="W182" s="54"/>
      <c r="X182" s="54"/>
    </row>
    <row r="183" spans="2:24"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3"/>
      <c r="S183" s="54"/>
      <c r="T183" s="54"/>
      <c r="U183" s="54"/>
      <c r="V183" s="54"/>
      <c r="W183" s="54"/>
      <c r="X183" s="54"/>
    </row>
    <row r="184" spans="2:24"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3"/>
      <c r="S184" s="54"/>
      <c r="T184" s="54"/>
      <c r="U184" s="54"/>
      <c r="V184" s="54"/>
      <c r="W184" s="54"/>
      <c r="X184" s="54"/>
    </row>
    <row r="185" spans="2:24"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3"/>
      <c r="S185" s="54"/>
      <c r="T185" s="54"/>
      <c r="U185" s="54"/>
      <c r="V185" s="54"/>
      <c r="W185" s="54"/>
      <c r="X185" s="54"/>
    </row>
    <row r="186" spans="2:24"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3"/>
      <c r="S186" s="54"/>
      <c r="T186" s="54"/>
      <c r="U186" s="54"/>
      <c r="V186" s="54"/>
      <c r="W186" s="54"/>
      <c r="X186" s="54"/>
    </row>
    <row r="187" spans="2:24"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3"/>
      <c r="S187" s="54"/>
      <c r="T187" s="54"/>
      <c r="U187" s="54"/>
      <c r="V187" s="54"/>
      <c r="W187" s="54"/>
      <c r="X187" s="54"/>
    </row>
    <row r="188" spans="2:24"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3"/>
      <c r="S188" s="54"/>
      <c r="T188" s="54"/>
      <c r="U188" s="54"/>
      <c r="V188" s="54"/>
      <c r="W188" s="54"/>
      <c r="X188" s="54"/>
    </row>
    <row r="189" spans="2:24"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3"/>
      <c r="S189" s="54"/>
      <c r="T189" s="54"/>
      <c r="U189" s="54"/>
      <c r="V189" s="54"/>
      <c r="W189" s="54"/>
      <c r="X189" s="54"/>
    </row>
    <row r="190" spans="2:24"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3"/>
      <c r="S190" s="54"/>
      <c r="T190" s="54"/>
      <c r="U190" s="54"/>
      <c r="V190" s="54"/>
      <c r="W190" s="54"/>
      <c r="X190" s="54"/>
    </row>
    <row r="191" spans="2:24"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3"/>
      <c r="S191" s="54"/>
      <c r="T191" s="54"/>
      <c r="U191" s="54"/>
      <c r="V191" s="54"/>
      <c r="W191" s="54"/>
      <c r="X191" s="54"/>
    </row>
    <row r="192" spans="2:24"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3"/>
      <c r="S192" s="54"/>
      <c r="T192" s="54"/>
      <c r="U192" s="54"/>
      <c r="V192" s="54"/>
      <c r="W192" s="54"/>
      <c r="X192" s="54"/>
    </row>
    <row r="193" spans="2:24"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3"/>
      <c r="S193" s="54"/>
      <c r="T193" s="54"/>
      <c r="U193" s="54"/>
      <c r="V193" s="54"/>
      <c r="W193" s="54"/>
      <c r="X193" s="54"/>
    </row>
    <row r="194" spans="2:24"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3"/>
      <c r="S194" s="54"/>
      <c r="T194" s="54"/>
      <c r="U194" s="54"/>
      <c r="V194" s="54"/>
      <c r="W194" s="54"/>
      <c r="X194" s="54"/>
    </row>
    <row r="195" spans="2:24"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3"/>
      <c r="S195" s="54"/>
      <c r="T195" s="54"/>
      <c r="U195" s="54"/>
      <c r="V195" s="54"/>
      <c r="W195" s="54"/>
      <c r="X195" s="54"/>
    </row>
    <row r="196" spans="2:24"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3"/>
      <c r="S196" s="54"/>
      <c r="T196" s="54"/>
      <c r="U196" s="54"/>
      <c r="V196" s="54"/>
      <c r="W196" s="54"/>
      <c r="X196" s="54"/>
    </row>
    <row r="197" spans="2:24"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3"/>
      <c r="S197" s="54"/>
      <c r="T197" s="54"/>
      <c r="U197" s="54"/>
      <c r="V197" s="54"/>
      <c r="W197" s="54"/>
      <c r="X197" s="54"/>
    </row>
  </sheetData>
  <sheetProtection password="C836" sheet="1" objects="1" scenarios="1"/>
  <mergeCells count="10">
    <mergeCell ref="J19:Q19"/>
    <mergeCell ref="U5:W6"/>
    <mergeCell ref="B2:X2"/>
    <mergeCell ref="D8:E8"/>
    <mergeCell ref="J8:Q8"/>
    <mergeCell ref="C5:F6"/>
    <mergeCell ref="I5:R6"/>
    <mergeCell ref="C4:F4"/>
    <mergeCell ref="I4:R4"/>
    <mergeCell ref="U4:W4"/>
  </mergeCells>
  <pageMargins left="0.7" right="0.7" top="0.75" bottom="0.75" header="0.3" footer="0.3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s">
                <anchor moveWithCells="1" sizeWithCells="1">
                  <from>
                    <xdr:col>9</xdr:col>
                    <xdr:colOff>0</xdr:colOff>
                    <xdr:row>16</xdr:row>
                    <xdr:rowOff>88900</xdr:rowOff>
                  </from>
                  <to>
                    <xdr:col>16</xdr:col>
                    <xdr:colOff>431800</xdr:colOff>
                    <xdr:row>17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B1:O45"/>
  <sheetViews>
    <sheetView showGridLines="0" zoomScale="125" zoomScaleNormal="125" zoomScalePageLayoutView="125" workbookViewId="0">
      <selection activeCell="D13" sqref="D13"/>
    </sheetView>
  </sheetViews>
  <sheetFormatPr baseColWidth="10" defaultColWidth="8.83203125" defaultRowHeight="14" x14ac:dyDescent="0"/>
  <cols>
    <col min="1" max="1" width="35.6640625" style="55" customWidth="1"/>
    <col min="2" max="2" width="8.83203125" style="55"/>
    <col min="3" max="3" width="6.6640625" style="55" customWidth="1"/>
    <col min="4" max="4" width="22.6640625" style="55" customWidth="1"/>
    <col min="5" max="5" width="6.6640625" style="55" customWidth="1"/>
    <col min="6" max="6" width="9.1640625" style="55" customWidth="1"/>
    <col min="7" max="7" width="8.83203125" style="55"/>
    <col min="8" max="8" width="6.1640625" style="55" customWidth="1"/>
    <col min="9" max="9" width="7.1640625" style="55" customWidth="1"/>
    <col min="10" max="10" width="15.1640625" style="55" customWidth="1"/>
    <col min="11" max="11" width="11.6640625" style="55" customWidth="1"/>
    <col min="12" max="16384" width="8.83203125" style="55"/>
  </cols>
  <sheetData>
    <row r="1" spans="2:15" ht="40" customHeight="1" thickBot="1"/>
    <row r="2" spans="2:15" ht="30" customHeight="1" thickBot="1">
      <c r="B2" s="243" t="s">
        <v>59</v>
      </c>
      <c r="C2" s="244"/>
      <c r="D2" s="244"/>
      <c r="E2" s="244"/>
      <c r="F2" s="244"/>
      <c r="G2" s="244"/>
      <c r="H2" s="244"/>
      <c r="I2" s="244"/>
      <c r="J2" s="244"/>
      <c r="K2" s="244"/>
      <c r="L2" s="245"/>
    </row>
    <row r="3" spans="2:15" ht="30" customHeight="1" thickBot="1">
      <c r="B3" s="198"/>
      <c r="C3" s="199"/>
      <c r="D3" s="199"/>
      <c r="E3" s="199"/>
      <c r="F3" s="200"/>
      <c r="G3" s="196"/>
      <c r="H3" s="196"/>
      <c r="I3" s="196"/>
      <c r="J3" s="196"/>
      <c r="K3" s="196"/>
      <c r="L3" s="197"/>
    </row>
    <row r="4" spans="2:15" ht="15" thickBot="1">
      <c r="B4" s="57"/>
      <c r="C4" s="248" t="s">
        <v>82</v>
      </c>
      <c r="D4" s="277"/>
      <c r="E4" s="278"/>
      <c r="F4" s="39"/>
      <c r="G4" s="49"/>
      <c r="H4" s="279" t="s">
        <v>87</v>
      </c>
      <c r="I4" s="280"/>
      <c r="J4" s="280"/>
      <c r="K4" s="281"/>
      <c r="L4" s="47"/>
    </row>
    <row r="5" spans="2:15" ht="15" customHeight="1">
      <c r="B5" s="57"/>
      <c r="C5" s="251" t="s">
        <v>86</v>
      </c>
      <c r="D5" s="252"/>
      <c r="E5" s="253"/>
      <c r="F5" s="39"/>
      <c r="G5" s="49"/>
      <c r="H5" s="271" t="s">
        <v>122</v>
      </c>
      <c r="I5" s="272"/>
      <c r="J5" s="272"/>
      <c r="K5" s="273"/>
      <c r="L5" s="47"/>
    </row>
    <row r="6" spans="2:15" ht="30" customHeight="1" thickBot="1">
      <c r="B6" s="57"/>
      <c r="C6" s="254"/>
      <c r="D6" s="255"/>
      <c r="E6" s="256"/>
      <c r="F6" s="39"/>
      <c r="G6" s="49"/>
      <c r="H6" s="274"/>
      <c r="I6" s="275"/>
      <c r="J6" s="275"/>
      <c r="K6" s="276"/>
      <c r="L6" s="47"/>
    </row>
    <row r="7" spans="2:15" ht="15" thickBot="1">
      <c r="B7" s="60"/>
      <c r="C7" s="38"/>
      <c r="D7" s="38"/>
      <c r="E7" s="38"/>
      <c r="F7" s="25"/>
      <c r="G7" s="74"/>
      <c r="H7" s="49"/>
      <c r="I7" s="49"/>
      <c r="J7" s="49"/>
      <c r="K7" s="49"/>
      <c r="L7" s="72"/>
    </row>
    <row r="8" spans="2:15" ht="15" thickBot="1">
      <c r="B8" s="60"/>
      <c r="C8" s="21"/>
      <c r="D8" s="33" t="s">
        <v>54</v>
      </c>
      <c r="E8" s="34"/>
      <c r="F8" s="23"/>
      <c r="G8" s="74"/>
      <c r="H8" s="248" t="s">
        <v>51</v>
      </c>
      <c r="I8" s="261"/>
      <c r="J8" s="261"/>
      <c r="K8" s="260"/>
      <c r="L8" s="44"/>
    </row>
    <row r="9" spans="2:15" ht="15" thickBot="1">
      <c r="B9" s="60"/>
      <c r="C9" s="21"/>
      <c r="D9" s="134" t="s">
        <v>55</v>
      </c>
      <c r="E9" s="34"/>
      <c r="F9" s="35"/>
      <c r="G9" s="74"/>
      <c r="H9" s="123" t="str">
        <f>INDEX(Setup!K87:Q87, 1, I9)</f>
        <v>C</v>
      </c>
      <c r="I9" s="124">
        <f>MOD(D27, 7)+1</f>
        <v>3</v>
      </c>
      <c r="J9" s="180" t="str">
        <f>CHOOSE(D29, "Sunday", "Monday", "Tuesday", "Wednesday", "Thursday", "Friday", "Saturday")</f>
        <v>Wednesday</v>
      </c>
      <c r="K9" s="125">
        <f>D13</f>
        <v>41514</v>
      </c>
      <c r="L9" s="45"/>
    </row>
    <row r="10" spans="2:15">
      <c r="B10" s="60"/>
      <c r="C10" s="21"/>
      <c r="D10" s="140">
        <v>41501</v>
      </c>
      <c r="E10" s="36"/>
      <c r="F10" s="37"/>
      <c r="G10" s="74"/>
      <c r="H10" s="126" t="s">
        <v>17</v>
      </c>
      <c r="I10" s="127" t="s">
        <v>1</v>
      </c>
      <c r="J10" s="128" t="s">
        <v>52</v>
      </c>
      <c r="K10" s="129" t="s">
        <v>53</v>
      </c>
      <c r="L10" s="46"/>
    </row>
    <row r="11" spans="2:15">
      <c r="B11" s="60"/>
      <c r="C11" s="21"/>
      <c r="D11" s="135" t="s">
        <v>56</v>
      </c>
      <c r="E11" s="38"/>
      <c r="F11" s="39"/>
      <c r="G11" s="74"/>
      <c r="H11" s="114">
        <v>0.5</v>
      </c>
      <c r="I11" s="115">
        <f t="shared" ref="I11:I18" si="0">J35</f>
        <v>14</v>
      </c>
      <c r="J11" s="116" t="str">
        <f>INDEX(Setup!$E$10:$E$26, Schedule!I11 + 1, 1)</f>
        <v>FAC MTGS</v>
      </c>
      <c r="K11" s="117" t="str">
        <f t="shared" ref="K11:K18" si="1">IF(J35=16,0, K26)</f>
        <v>7:45-9:00</v>
      </c>
      <c r="L11" s="47"/>
    </row>
    <row r="12" spans="2:15">
      <c r="B12" s="60"/>
      <c r="C12" s="21"/>
      <c r="D12" s="201"/>
      <c r="E12" s="38"/>
      <c r="F12" s="39"/>
      <c r="G12" s="74"/>
      <c r="H12" s="130">
        <v>1</v>
      </c>
      <c r="I12" s="178">
        <f t="shared" si="0"/>
        <v>2</v>
      </c>
      <c r="J12" s="131" t="str">
        <f>INDEX(Setup!$E$10:$E$26, Schedule!I12 + 1, 1)</f>
        <v>Math</v>
      </c>
      <c r="K12" s="132" t="str">
        <f>IF(J36=16,0, K27)</f>
        <v>9:00-10:10</v>
      </c>
      <c r="L12" s="47"/>
    </row>
    <row r="13" spans="2:15">
      <c r="B13" s="60"/>
      <c r="C13" s="21"/>
      <c r="D13" s="177">
        <v>41514</v>
      </c>
      <c r="E13" s="38"/>
      <c r="F13" s="39"/>
      <c r="G13" s="74"/>
      <c r="H13" s="114">
        <v>1.5</v>
      </c>
      <c r="I13" s="115">
        <f t="shared" si="0"/>
        <v>10</v>
      </c>
      <c r="J13" s="116" t="str">
        <f>INDEX(Setup!$E$10:$E$26, Schedule!I13 + 1, 1)</f>
        <v>Break</v>
      </c>
      <c r="K13" s="117" t="str">
        <f t="shared" si="1"/>
        <v>10:10-10:25</v>
      </c>
      <c r="L13" s="47"/>
    </row>
    <row r="14" spans="2:15" ht="15" thickBot="1">
      <c r="B14" s="60"/>
      <c r="C14" s="21"/>
      <c r="D14" s="141"/>
      <c r="E14" s="38"/>
      <c r="F14" s="39"/>
      <c r="G14" s="74"/>
      <c r="H14" s="130">
        <v>2</v>
      </c>
      <c r="I14" s="178">
        <f t="shared" si="0"/>
        <v>3</v>
      </c>
      <c r="J14" s="131" t="str">
        <f>INDEX(Setup!$E$10:$E$26, Schedule!I14 + 1, 1)</f>
        <v>Physics</v>
      </c>
      <c r="K14" s="132" t="str">
        <f t="shared" si="1"/>
        <v>10:25-11:35</v>
      </c>
      <c r="L14" s="47"/>
    </row>
    <row r="15" spans="2:15">
      <c r="B15" s="60"/>
      <c r="C15" s="21"/>
      <c r="D15" s="40"/>
      <c r="E15" s="38"/>
      <c r="F15" s="39"/>
      <c r="G15" s="74"/>
      <c r="H15" s="130">
        <v>3</v>
      </c>
      <c r="I15" s="178">
        <f t="shared" si="0"/>
        <v>4</v>
      </c>
      <c r="J15" s="131" t="str">
        <f>INDEX(Setup!$E$10:$E$26, Schedule!I15 + 1, 1)</f>
        <v>Bible</v>
      </c>
      <c r="K15" s="132" t="str">
        <f t="shared" si="1"/>
        <v>11:35-1:40</v>
      </c>
      <c r="L15" s="47"/>
      <c r="O15" s="73"/>
    </row>
    <row r="16" spans="2:15">
      <c r="B16" s="60"/>
      <c r="C16" s="21"/>
      <c r="D16" s="21"/>
      <c r="E16" s="21"/>
      <c r="F16" s="39"/>
      <c r="G16" s="74"/>
      <c r="H16" s="114">
        <v>3.5</v>
      </c>
      <c r="I16" s="115">
        <f t="shared" si="0"/>
        <v>10</v>
      </c>
      <c r="J16" s="116" t="str">
        <f>INDEX(Setup!$E$10:$E$26, Schedule!I16 + 1, 1)</f>
        <v>Break</v>
      </c>
      <c r="K16" s="117" t="str">
        <f t="shared" si="1"/>
        <v>1:40-1:50</v>
      </c>
      <c r="L16" s="47"/>
    </row>
    <row r="17" spans="2:12">
      <c r="B17" s="60"/>
      <c r="C17" s="21"/>
      <c r="D17" s="21"/>
      <c r="E17" s="38"/>
      <c r="F17" s="39"/>
      <c r="G17" s="74"/>
      <c r="H17" s="130">
        <v>4</v>
      </c>
      <c r="I17" s="178">
        <f t="shared" si="0"/>
        <v>5</v>
      </c>
      <c r="J17" s="131" t="str">
        <f>INDEX(Setup!$E$10:$E$26, Schedule!I17 + 1, 1)</f>
        <v>English</v>
      </c>
      <c r="K17" s="132" t="str">
        <f t="shared" si="1"/>
        <v>1:50-3:00</v>
      </c>
      <c r="L17" s="47"/>
    </row>
    <row r="18" spans="2:12" ht="15" thickBot="1">
      <c r="B18" s="60"/>
      <c r="C18" s="21"/>
      <c r="D18" s="21"/>
      <c r="E18" s="38"/>
      <c r="F18" s="39"/>
      <c r="G18" s="74"/>
      <c r="H18" s="119">
        <v>4.5</v>
      </c>
      <c r="I18" s="179">
        <f t="shared" si="0"/>
        <v>9</v>
      </c>
      <c r="J18" s="121" t="str">
        <f>INDEX(Setup!$E$10:$E$26, Schedule!I18 + 1, 1)</f>
        <v>Office Hours</v>
      </c>
      <c r="K18" s="122" t="str">
        <f t="shared" si="1"/>
        <v>3:00-3:30</v>
      </c>
      <c r="L18" s="47"/>
    </row>
    <row r="19" spans="2:12">
      <c r="B19" s="60"/>
      <c r="C19" s="21"/>
      <c r="D19" s="21"/>
      <c r="E19" s="21"/>
      <c r="F19" s="25"/>
      <c r="G19" s="74"/>
      <c r="H19" s="74"/>
      <c r="I19" s="48"/>
      <c r="J19" s="49"/>
      <c r="K19" s="49"/>
      <c r="L19" s="72"/>
    </row>
    <row r="20" spans="2:12" ht="15" thickBot="1">
      <c r="B20" s="66"/>
      <c r="C20" s="67"/>
      <c r="D20" s="41"/>
      <c r="E20" s="42"/>
      <c r="F20" s="43"/>
      <c r="G20" s="75"/>
      <c r="H20" s="75"/>
      <c r="I20" s="50"/>
      <c r="J20" s="51"/>
      <c r="K20" s="51"/>
      <c r="L20" s="52"/>
    </row>
    <row r="23" spans="2:12" hidden="1"/>
    <row r="24" spans="2:12" hidden="1"/>
    <row r="25" spans="2:12" hidden="1"/>
    <row r="26" spans="2:12" hidden="1">
      <c r="D26" s="106" t="s">
        <v>57</v>
      </c>
      <c r="H26" s="114">
        <v>0.5</v>
      </c>
      <c r="I26" s="115">
        <f>INDEX(Setup!$K$63:$Q$66, 1, $D$29)</f>
        <v>14</v>
      </c>
      <c r="J26" s="55">
        <f>IF(AND($D$29&lt;7, $D$29&gt;1), I26, 0)</f>
        <v>14</v>
      </c>
      <c r="K26" s="117" t="str">
        <f>INDEX(Setup!K70:Q73,1, Schedule!D29)</f>
        <v>7:45-9:00</v>
      </c>
    </row>
    <row r="27" spans="2:12" ht="15" hidden="1" thickBot="1">
      <c r="D27" s="107">
        <f>MAX(NETWORKDAYS(Schedule!D10, Schedule!D13,Setup!V61:V123)-1, 0)</f>
        <v>9</v>
      </c>
      <c r="H27" s="130">
        <v>1</v>
      </c>
      <c r="I27" s="133">
        <f>INDEX(Setup!$K$88:$Q$91, Schedule!H27, $I$9)</f>
        <v>2</v>
      </c>
      <c r="J27" s="55">
        <f t="shared" ref="J27:J33" si="2">IF(AND($D$29&lt;7, $D$29&gt;1), I27, 0)</f>
        <v>2</v>
      </c>
      <c r="K27" s="132" t="str">
        <f>INDEX(Setup!$K$74:$Q$77,1, Schedule!D29)</f>
        <v>9:00-10:10</v>
      </c>
    </row>
    <row r="28" spans="2:12" hidden="1">
      <c r="D28" s="106" t="s">
        <v>58</v>
      </c>
      <c r="H28" s="114">
        <v>1.5</v>
      </c>
      <c r="I28" s="118">
        <f>INDEX(Setup!$K$63:$Q$66, 2, $D$29)</f>
        <v>10</v>
      </c>
      <c r="J28" s="55">
        <f t="shared" si="2"/>
        <v>10</v>
      </c>
      <c r="K28" s="117" t="str">
        <f>INDEX(Setup!K70:Q73,2, Schedule!D29)</f>
        <v>10:10-10:25</v>
      </c>
    </row>
    <row r="29" spans="2:12" ht="15" hidden="1" thickBot="1">
      <c r="D29" s="107">
        <f>WEEKDAY(D13)</f>
        <v>4</v>
      </c>
      <c r="H29" s="130">
        <v>2</v>
      </c>
      <c r="I29" s="133">
        <f>INDEX(Setup!$K$88:$Q$91, Schedule!H29, $I$9)</f>
        <v>3</v>
      </c>
      <c r="J29" s="55">
        <f t="shared" si="2"/>
        <v>3</v>
      </c>
      <c r="K29" s="132" t="str">
        <f>INDEX(Setup!K74:Q77,H14, Schedule!D29)</f>
        <v>10:25-11:35</v>
      </c>
    </row>
    <row r="30" spans="2:12" hidden="1">
      <c r="H30" s="130">
        <v>3</v>
      </c>
      <c r="I30" s="133">
        <f>INDEX(Setup!$K$88:$Q$91, Schedule!H30, $I$9)</f>
        <v>4</v>
      </c>
      <c r="J30" s="55">
        <f t="shared" si="2"/>
        <v>4</v>
      </c>
      <c r="K30" s="132" t="str">
        <f>INDEX(Setup!K74:Q77,H15, Schedule!D29)</f>
        <v>11:35-1:40</v>
      </c>
    </row>
    <row r="31" spans="2:12" hidden="1">
      <c r="H31" s="114">
        <v>3.5</v>
      </c>
      <c r="I31" s="118">
        <f>INDEX(Setup!$K$63:$Q$66, 3, $D$29)</f>
        <v>10</v>
      </c>
      <c r="J31" s="55">
        <f t="shared" si="2"/>
        <v>10</v>
      </c>
      <c r="K31" s="117" t="str">
        <f>INDEX(Setup!K70:Q73,3, Schedule!D29)</f>
        <v>1:40-1:50</v>
      </c>
    </row>
    <row r="32" spans="2:12" hidden="1">
      <c r="H32" s="130">
        <v>4</v>
      </c>
      <c r="I32" s="133">
        <f>INDEX(Setup!$K$88:$Q$91, Schedule!H32, $I$9)</f>
        <v>5</v>
      </c>
      <c r="J32" s="55">
        <f t="shared" si="2"/>
        <v>5</v>
      </c>
      <c r="K32" s="132" t="str">
        <f>INDEX(Setup!K74:Q77,H17, Schedule!D29)</f>
        <v>1:50-3:00</v>
      </c>
    </row>
    <row r="33" spans="8:11" ht="15" hidden="1" thickBot="1">
      <c r="H33" s="119">
        <v>4.5</v>
      </c>
      <c r="I33" s="120">
        <f>INDEX(Setup!$K$63:$Q$66, 4, $D$29)</f>
        <v>9</v>
      </c>
      <c r="J33" s="55">
        <f t="shared" si="2"/>
        <v>9</v>
      </c>
      <c r="K33" s="122" t="str">
        <f>INDEX(Setup!K70:Q73,4, Schedule!D29)</f>
        <v>3:00-3:30</v>
      </c>
    </row>
    <row r="34" spans="8:11" hidden="1"/>
    <row r="35" spans="8:11" hidden="1">
      <c r="J35" s="55">
        <f>IF(ISERROR(MATCH($K$9, Setup!$V$10:$V$123, 0)), Schedule!J26, Setup!$D$26)</f>
        <v>14</v>
      </c>
    </row>
    <row r="36" spans="8:11" hidden="1">
      <c r="J36" s="55">
        <f>IF(ISERROR(MATCH($K$9, Setup!$V$10:$V$123, 0)), Schedule!J27, Setup!$D$26)</f>
        <v>2</v>
      </c>
    </row>
    <row r="37" spans="8:11" hidden="1">
      <c r="J37" s="55">
        <f>IF(ISERROR(MATCH($K$9, Setup!$V$10:$V$123, 0)), Schedule!J28, Setup!$D$26)</f>
        <v>10</v>
      </c>
    </row>
    <row r="38" spans="8:11" hidden="1">
      <c r="J38" s="55">
        <f>IF(ISERROR(MATCH($K$9, Setup!$V$10:$V$123, 0)), Schedule!J29, Setup!$D$26)</f>
        <v>3</v>
      </c>
    </row>
    <row r="39" spans="8:11" hidden="1">
      <c r="J39" s="55">
        <f>IF(ISERROR(MATCH($K$9, Setup!$V$10:$V$123, 0)), Schedule!J30, Setup!$D$26)</f>
        <v>4</v>
      </c>
    </row>
    <row r="40" spans="8:11" hidden="1">
      <c r="J40" s="55">
        <f>IF(ISERROR(MATCH($K$9, Setup!$V$10:$V$123, 0)), Schedule!J31, Setup!$D$26)</f>
        <v>10</v>
      </c>
    </row>
    <row r="41" spans="8:11" hidden="1">
      <c r="J41" s="55">
        <f>IF(ISERROR(MATCH($K$9, Setup!$V$10:$V$123, 0)), Schedule!J32, Setup!$D$26)</f>
        <v>5</v>
      </c>
    </row>
    <row r="42" spans="8:11" hidden="1">
      <c r="J42" s="55">
        <f>IF(ISERROR(MATCH($K$9, Setup!$V$10:$V$123, 0)), Schedule!J33, Setup!$D$26)</f>
        <v>9</v>
      </c>
    </row>
    <row r="43" spans="8:11" hidden="1"/>
    <row r="44" spans="8:11" hidden="1"/>
    <row r="45" spans="8:11" hidden="1"/>
  </sheetData>
  <mergeCells count="6">
    <mergeCell ref="C5:E6"/>
    <mergeCell ref="H5:K6"/>
    <mergeCell ref="H8:K8"/>
    <mergeCell ref="B2:L2"/>
    <mergeCell ref="C4:E4"/>
    <mergeCell ref="H4:K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increment_up">
                <anchor moveWithCells="1" sizeWithCells="1">
                  <from>
                    <xdr:col>3</xdr:col>
                    <xdr:colOff>990600</xdr:colOff>
                    <xdr:row>11</xdr:row>
                    <xdr:rowOff>76200</xdr:rowOff>
                  </from>
                  <to>
                    <xdr:col>3</xdr:col>
                    <xdr:colOff>1333500</xdr:colOff>
                    <xdr:row>12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ncrement_down">
                <anchor moveWithCells="1" sizeWithCells="1">
                  <from>
                    <xdr:col>3</xdr:col>
                    <xdr:colOff>990600</xdr:colOff>
                    <xdr:row>12</xdr:row>
                    <xdr:rowOff>101600</xdr:rowOff>
                  </from>
                  <to>
                    <xdr:col>3</xdr:col>
                    <xdr:colOff>1333500</xdr:colOff>
                    <xdr:row>13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crement_up7">
                <anchor moveWithCells="1" sizeWithCells="1">
                  <from>
                    <xdr:col>3</xdr:col>
                    <xdr:colOff>1346200</xdr:colOff>
                    <xdr:row>11</xdr:row>
                    <xdr:rowOff>76200</xdr:rowOff>
                  </from>
                  <to>
                    <xdr:col>3</xdr:col>
                    <xdr:colOff>1676400</xdr:colOff>
                    <xdr:row>12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increment_down7">
                <anchor moveWithCells="1" sizeWithCells="1">
                  <from>
                    <xdr:col>3</xdr:col>
                    <xdr:colOff>1358900</xdr:colOff>
                    <xdr:row>12</xdr:row>
                    <xdr:rowOff>114300</xdr:rowOff>
                  </from>
                  <to>
                    <xdr:col>3</xdr:col>
                    <xdr:colOff>1689100</xdr:colOff>
                    <xdr:row>13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use_today">
                <anchor moveWithCells="1" sizeWithCells="1">
                  <from>
                    <xdr:col>3</xdr:col>
                    <xdr:colOff>0</xdr:colOff>
                    <xdr:row>14</xdr:row>
                    <xdr:rowOff>101600</xdr:rowOff>
                  </from>
                  <to>
                    <xdr:col>4</xdr:col>
                    <xdr:colOff>0</xdr:colOff>
                    <xdr:row>15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1:AG32"/>
  <sheetViews>
    <sheetView showGridLines="0" zoomScale="125" zoomScaleNormal="125" zoomScalePageLayoutView="125" workbookViewId="0">
      <selection activeCell="C7" sqref="C7"/>
    </sheetView>
  </sheetViews>
  <sheetFormatPr baseColWidth="10" defaultColWidth="8.83203125" defaultRowHeight="14" x14ac:dyDescent="0"/>
  <cols>
    <col min="1" max="1" width="35.6640625" style="55" customWidth="1"/>
    <col min="2" max="2" width="8.83203125" style="55"/>
    <col min="3" max="3" width="5.83203125" style="55" customWidth="1"/>
    <col min="4" max="8" width="15.1640625" style="55" customWidth="1"/>
    <col min="9" max="9" width="8.83203125" style="55"/>
    <col min="10" max="10" width="9.6640625" style="55" bestFit="1" customWidth="1"/>
    <col min="11" max="12" width="9.83203125" style="55" bestFit="1" customWidth="1"/>
    <col min="13" max="14" width="10.83203125" style="55" bestFit="1" customWidth="1"/>
    <col min="15" max="15" width="9.83203125" style="55" hidden="1" customWidth="1"/>
    <col min="16" max="16" width="9.5" style="55" hidden="1" customWidth="1"/>
    <col min="17" max="17" width="9.83203125" style="55" hidden="1" customWidth="1"/>
    <col min="18" max="18" width="11.33203125" style="55" hidden="1" customWidth="1"/>
    <col min="19" max="19" width="9.5" style="55" hidden="1" customWidth="1"/>
    <col min="20" max="20" width="11.1640625" style="55" hidden="1" customWidth="1"/>
    <col min="21" max="33" width="9.1640625" style="55" hidden="1" customWidth="1"/>
    <col min="34" max="16384" width="8.83203125" style="55"/>
  </cols>
  <sheetData>
    <row r="1" spans="2:32" ht="40" customHeight="1" thickBot="1"/>
    <row r="2" spans="2:32" ht="30" customHeight="1" thickBot="1">
      <c r="B2" s="282" t="str">
        <f>CONCATENATE(R2, " (", T2, " - ", U2, ")")</f>
        <v>Weekly Schedule (8/26/13 - 8/30/13)</v>
      </c>
      <c r="C2" s="283"/>
      <c r="D2" s="283"/>
      <c r="E2" s="283"/>
      <c r="F2" s="283"/>
      <c r="G2" s="283"/>
      <c r="H2" s="283"/>
      <c r="I2" s="284"/>
      <c r="R2" s="55" t="s">
        <v>121</v>
      </c>
      <c r="T2" s="55" t="str">
        <f>TEXT(D7, "m/d/yy")</f>
        <v>8/26/13</v>
      </c>
      <c r="U2" s="55" t="str">
        <f>TEXT(H7, "m/d/yy")</f>
        <v>8/30/13</v>
      </c>
    </row>
    <row r="3" spans="2:32" ht="30" customHeight="1" thickBot="1">
      <c r="B3" s="203"/>
      <c r="C3" s="204"/>
      <c r="D3" s="204"/>
      <c r="E3" s="204"/>
      <c r="F3" s="204"/>
      <c r="G3" s="204"/>
      <c r="H3" s="204"/>
      <c r="I3" s="205"/>
    </row>
    <row r="4" spans="2:32" ht="15" customHeight="1" thickBot="1">
      <c r="B4" s="206"/>
      <c r="C4" s="288" t="s">
        <v>123</v>
      </c>
      <c r="D4" s="289"/>
      <c r="E4" s="289"/>
      <c r="F4" s="289"/>
      <c r="G4" s="289"/>
      <c r="H4" s="290"/>
      <c r="I4" s="207"/>
    </row>
    <row r="5" spans="2:32" ht="70" customHeight="1" thickBot="1">
      <c r="B5" s="206"/>
      <c r="C5" s="285" t="s">
        <v>124</v>
      </c>
      <c r="D5" s="286"/>
      <c r="E5" s="286"/>
      <c r="F5" s="286"/>
      <c r="G5" s="286"/>
      <c r="H5" s="287"/>
      <c r="I5" s="207"/>
    </row>
    <row r="6" spans="2:32" ht="15" customHeight="1" thickBot="1">
      <c r="B6" s="58"/>
      <c r="C6" s="27"/>
      <c r="D6" s="27"/>
      <c r="E6" s="27"/>
      <c r="F6" s="27"/>
      <c r="G6" s="28"/>
      <c r="H6" s="27"/>
      <c r="I6" s="59"/>
    </row>
    <row r="7" spans="2:32">
      <c r="B7" s="58"/>
      <c r="C7" s="208"/>
      <c r="D7" s="209">
        <f>Q7 - (WEEKDAY(Q7) - 2)</f>
        <v>41512</v>
      </c>
      <c r="E7" s="209">
        <f>D7+1</f>
        <v>41513</v>
      </c>
      <c r="F7" s="210">
        <f t="shared" ref="F7:H7" si="0">E7+1</f>
        <v>41514</v>
      </c>
      <c r="G7" s="211">
        <f t="shared" si="0"/>
        <v>41515</v>
      </c>
      <c r="H7" s="212">
        <f t="shared" si="0"/>
        <v>41516</v>
      </c>
      <c r="I7" s="59"/>
      <c r="Q7" s="213">
        <f>Schedule!D13</f>
        <v>41514</v>
      </c>
    </row>
    <row r="8" spans="2:32">
      <c r="B8" s="58"/>
      <c r="C8" s="214"/>
      <c r="D8" s="215" t="str">
        <f>CHOOSE(R10, "Sunday", "Monday", "Tuesday", "Wednesday", "Thursday", "Friday", "Saturday")</f>
        <v>Monday</v>
      </c>
      <c r="E8" s="215" t="str">
        <f>CHOOSE(S10, "Sunday", "Monday", "Tuesday", "Wednesday", "Thursday", "Friday", "Saturday")</f>
        <v>Tuesday</v>
      </c>
      <c r="F8" s="216" t="str">
        <f>CHOOSE(T10, "Sunday", "Monday", "Tuesday", "Wednesday", "Thursday", "Friday", "Saturday")</f>
        <v>Wednesday</v>
      </c>
      <c r="G8" s="217" t="str">
        <f>CHOOSE(U10, "Sunday", "Monday", "Tuesday", "Wednesday", "Thursday", "Friday", "Saturday")</f>
        <v>Thursday</v>
      </c>
      <c r="H8" s="218" t="str">
        <f>CHOOSE(V10, "Sunday", "Monday", "Tuesday", "Wednesday", "Thursday", "Friday", "Saturday")</f>
        <v>Friday</v>
      </c>
      <c r="I8" s="59"/>
    </row>
    <row r="9" spans="2:32">
      <c r="B9" s="58"/>
      <c r="C9" s="214"/>
      <c r="D9" s="215" t="str">
        <f>INDEX(Setup!$K$87:$Q$87, 1, R13)</f>
        <v>A</v>
      </c>
      <c r="E9" s="215" t="str">
        <f>INDEX(Setup!$K$87:$Q$87, 1, S13)</f>
        <v>B</v>
      </c>
      <c r="F9" s="216" t="str">
        <f>INDEX(Setup!$K$87:$Q$87, 1, T13)</f>
        <v>C</v>
      </c>
      <c r="G9" s="217" t="str">
        <f>INDEX(Setup!$K$87:$Q$87, 1, U13)</f>
        <v>D</v>
      </c>
      <c r="H9" s="218" t="str">
        <f>INDEX(Setup!$K$87:$Q$87, 1, V13)</f>
        <v>E</v>
      </c>
      <c r="I9" s="59"/>
    </row>
    <row r="10" spans="2:32" ht="15.75" customHeight="1" thickBot="1">
      <c r="B10" s="58"/>
      <c r="C10" s="219" t="s">
        <v>91</v>
      </c>
      <c r="D10" s="220"/>
      <c r="E10" s="319" t="s">
        <v>92</v>
      </c>
      <c r="F10" s="321" t="s">
        <v>93</v>
      </c>
      <c r="G10" s="324" t="s">
        <v>92</v>
      </c>
      <c r="H10" s="221"/>
      <c r="I10" s="59"/>
      <c r="R10" s="55">
        <f>WEEKDAY(D7)</f>
        <v>2</v>
      </c>
      <c r="S10" s="55">
        <f>WEEKDAY(E7)</f>
        <v>3</v>
      </c>
      <c r="T10" s="55">
        <f>WEEKDAY(F7)</f>
        <v>4</v>
      </c>
      <c r="U10" s="55">
        <f>WEEKDAY(G7)</f>
        <v>5</v>
      </c>
      <c r="V10" s="55">
        <f>WEEKDAY(H7)</f>
        <v>6</v>
      </c>
      <c r="X10" s="55" t="s">
        <v>120</v>
      </c>
    </row>
    <row r="11" spans="2:32" ht="51" customHeight="1">
      <c r="B11" s="58"/>
      <c r="C11" s="222" t="s">
        <v>94</v>
      </c>
      <c r="D11" s="223" t="s">
        <v>95</v>
      </c>
      <c r="E11" s="320"/>
      <c r="F11" s="322"/>
      <c r="G11" s="324"/>
      <c r="H11" s="224" t="s">
        <v>95</v>
      </c>
      <c r="I11" s="59"/>
      <c r="R11" s="55">
        <f>MAX(NETWORKDAYS(Schedule!$D$10,D7,Setup!$V$61:$V$123)-1, 0)</f>
        <v>7</v>
      </c>
      <c r="S11" s="55">
        <f>MAX(NETWORKDAYS(Schedule!$D$10,E7,Setup!$V$61:$V$123)-1, 0)</f>
        <v>8</v>
      </c>
      <c r="T11" s="55">
        <f>MAX(NETWORKDAYS(Schedule!$D$10,F7,Setup!$V$61:$V$123)-1, 0)</f>
        <v>9</v>
      </c>
      <c r="U11" s="55">
        <f>MAX(NETWORKDAYS(Schedule!$D$10,G7,Setup!$V$61:$V$123)-1, 0)</f>
        <v>10</v>
      </c>
      <c r="V11" s="55">
        <f>MAX(NETWORKDAYS(Schedule!$D$10,H7,Setup!$V$61:$V$123)-1, 0)</f>
        <v>11</v>
      </c>
    </row>
    <row r="12" spans="2:32" ht="15.75" customHeight="1" thickBot="1">
      <c r="B12" s="58"/>
      <c r="C12" s="219" t="s">
        <v>96</v>
      </c>
      <c r="D12" s="307" t="str">
        <f>W20</f>
        <v>History_x000D_(8:30-9:40)</v>
      </c>
      <c r="E12" s="310" t="str">
        <f>X20</f>
        <v>English_x000D_(8:30-9:40)</v>
      </c>
      <c r="F12" s="323"/>
      <c r="G12" s="316" t="str">
        <f>Z20</f>
        <v>Orchestra_x000D_(8:30-9:40)</v>
      </c>
      <c r="H12" s="291" t="str">
        <f>AA20</f>
        <v>Physics_x000D_(8:30-9:40)</v>
      </c>
      <c r="I12" s="59"/>
    </row>
    <row r="13" spans="2:32" ht="15" customHeight="1">
      <c r="B13" s="58"/>
      <c r="C13" s="222" t="s">
        <v>97</v>
      </c>
      <c r="D13" s="309"/>
      <c r="E13" s="312"/>
      <c r="F13" s="313" t="str">
        <f>Y20</f>
        <v>Math_x000D_(9:00-10:10)</v>
      </c>
      <c r="G13" s="316"/>
      <c r="H13" s="293"/>
      <c r="I13" s="59"/>
      <c r="R13" s="55">
        <f>MOD(R11, 7) +1</f>
        <v>1</v>
      </c>
      <c r="S13" s="55">
        <f t="shared" ref="S13:V13" si="1">MOD(S11, 7) +1</f>
        <v>2</v>
      </c>
      <c r="T13" s="55">
        <f t="shared" si="1"/>
        <v>3</v>
      </c>
      <c r="U13" s="55">
        <f t="shared" si="1"/>
        <v>4</v>
      </c>
      <c r="V13" s="55">
        <f t="shared" si="1"/>
        <v>5</v>
      </c>
    </row>
    <row r="14" spans="2:32" ht="15" customHeight="1">
      <c r="B14" s="58"/>
      <c r="C14" s="214" t="s">
        <v>98</v>
      </c>
      <c r="D14" s="220" t="s">
        <v>11</v>
      </c>
      <c r="E14" s="220" t="s">
        <v>11</v>
      </c>
      <c r="F14" s="314"/>
      <c r="G14" s="318" t="s">
        <v>99</v>
      </c>
      <c r="H14" s="221" t="s">
        <v>100</v>
      </c>
      <c r="I14" s="59"/>
    </row>
    <row r="15" spans="2:32" ht="15.75" customHeight="1" thickBot="1">
      <c r="B15" s="58"/>
      <c r="C15" s="219" t="s">
        <v>101</v>
      </c>
      <c r="D15" s="307" t="str">
        <f>W21</f>
        <v>Math_x000D_(9:55-11:05)</v>
      </c>
      <c r="E15" s="310" t="str">
        <f>X21</f>
        <v>Orchestra_x000D_(9:55-11:05)</v>
      </c>
      <c r="F15" s="314"/>
      <c r="G15" s="318"/>
      <c r="H15" s="291" t="str">
        <f>AA21</f>
        <v>Bible_x000D_(9:55-11:05)</v>
      </c>
      <c r="I15" s="59"/>
    </row>
    <row r="16" spans="2:32">
      <c r="B16" s="58"/>
      <c r="C16" s="222" t="s">
        <v>102</v>
      </c>
      <c r="D16" s="308"/>
      <c r="E16" s="311"/>
      <c r="F16" s="315"/>
      <c r="G16" s="318"/>
      <c r="H16" s="292"/>
      <c r="I16" s="59"/>
      <c r="Q16" s="225">
        <v>1</v>
      </c>
      <c r="R16" s="226">
        <f>IF(ISERROR(MATCH(D$7, Setup!$V$10:$V$123, 0)), R26, Setup!$D$26)</f>
        <v>1</v>
      </c>
      <c r="S16" s="226">
        <f>IF(ISERROR(MATCH(E$7, Setup!$V$10:$V$123, 0)), S26, Setup!$D$26)</f>
        <v>5</v>
      </c>
      <c r="T16" s="226">
        <f>IF(ISERROR(MATCH(F$7, Setup!$V$10:$V$123, 0)), T26, Setup!$D$26)</f>
        <v>2</v>
      </c>
      <c r="U16" s="226">
        <f>IF(ISERROR(MATCH(G$7, Setup!$V$10:$V$123, 0)), U26, Setup!$D$26)</f>
        <v>6</v>
      </c>
      <c r="V16" s="226">
        <f>IF(ISERROR(MATCH(H$7, Setup!$V$10:$V$123, 0)), V26, Setup!$D$26)</f>
        <v>3</v>
      </c>
      <c r="W16" s="225" t="str">
        <f>INDEX(Setup!$E$10:$E$26, R16 + 1, 1)</f>
        <v>History</v>
      </c>
      <c r="X16" s="225" t="str">
        <f>INDEX(Setup!$E$10:$E$26, S16 + 1, 1)</f>
        <v>English</v>
      </c>
      <c r="Y16" s="225" t="str">
        <f>INDEX(Setup!$E$10:$E$26, T16 + 1, 1)</f>
        <v>Math</v>
      </c>
      <c r="Z16" s="225" t="str">
        <f>INDEX(Setup!$E$10:$E$26, U16 + 1, 1)</f>
        <v>Orchestra</v>
      </c>
      <c r="AA16" s="225" t="str">
        <f>INDEX(Setup!$E$10:$E$26, V16 + 1, 1)</f>
        <v>Physics</v>
      </c>
      <c r="AB16" s="227" t="str">
        <f t="shared" ref="AB16:AF17" si="2">W16</f>
        <v>History</v>
      </c>
      <c r="AC16" s="227" t="str">
        <f t="shared" si="2"/>
        <v>English</v>
      </c>
      <c r="AD16" s="227" t="str">
        <f t="shared" si="2"/>
        <v>Math</v>
      </c>
      <c r="AE16" s="227" t="str">
        <f t="shared" si="2"/>
        <v>Orchestra</v>
      </c>
      <c r="AF16" s="227" t="str">
        <f t="shared" si="2"/>
        <v>Physics</v>
      </c>
    </row>
    <row r="17" spans="2:32">
      <c r="B17" s="58"/>
      <c r="C17" s="214" t="s">
        <v>103</v>
      </c>
      <c r="D17" s="308"/>
      <c r="E17" s="311"/>
      <c r="F17" s="228" t="s">
        <v>11</v>
      </c>
      <c r="G17" s="318"/>
      <c r="H17" s="292"/>
      <c r="I17" s="59"/>
      <c r="Q17" s="225">
        <v>2</v>
      </c>
      <c r="R17" s="226">
        <f>IF(ISERROR(MATCH(D$7, Setup!$V$10:$V$123, 0)), R27, Setup!$D$26)</f>
        <v>2</v>
      </c>
      <c r="S17" s="226">
        <f>IF(ISERROR(MATCH(E$7, Setup!$V$10:$V$123, 0)), S27, Setup!$D$26)</f>
        <v>6</v>
      </c>
      <c r="T17" s="226">
        <f>IF(ISERROR(MATCH(F$7, Setup!$V$10:$V$123, 0)), T27, Setup!$D$26)</f>
        <v>3</v>
      </c>
      <c r="U17" s="226">
        <f>IF(ISERROR(MATCH(G$7, Setup!$V$10:$V$123, 0)), U27, Setup!$D$26)</f>
        <v>7</v>
      </c>
      <c r="V17" s="226">
        <f>IF(ISERROR(MATCH(H$7, Setup!$V$10:$V$123, 0)), V27, Setup!$D$26)</f>
        <v>4</v>
      </c>
      <c r="W17" s="225" t="str">
        <f>INDEX(Setup!$E$10:$E$26, R17 + 1, 1)</f>
        <v>Math</v>
      </c>
      <c r="X17" s="225" t="str">
        <f>INDEX(Setup!$E$10:$E$26, S17 + 1, 1)</f>
        <v>Orchestra</v>
      </c>
      <c r="Y17" s="225" t="str">
        <f>INDEX(Setup!$E$10:$E$26, T17 + 1, 1)</f>
        <v>Physics</v>
      </c>
      <c r="Z17" s="225" t="str">
        <f>INDEX(Setup!$E$10:$E$26, U17 + 1, 1)</f>
        <v>Physics</v>
      </c>
      <c r="AA17" s="225" t="str">
        <f>INDEX(Setup!$E$10:$E$26, V17 + 1, 1)</f>
        <v>Bible</v>
      </c>
      <c r="AB17" s="227" t="str">
        <f t="shared" si="2"/>
        <v>Math</v>
      </c>
      <c r="AC17" s="227" t="str">
        <f t="shared" si="2"/>
        <v>Orchestra</v>
      </c>
      <c r="AD17" s="227" t="str">
        <f t="shared" si="2"/>
        <v>Physics</v>
      </c>
      <c r="AE17" s="227" t="str">
        <f t="shared" si="2"/>
        <v>Physics</v>
      </c>
      <c r="AF17" s="227" t="str">
        <f t="shared" si="2"/>
        <v>Bible</v>
      </c>
    </row>
    <row r="18" spans="2:32" ht="15.75" customHeight="1" thickBot="1">
      <c r="B18" s="58"/>
      <c r="C18" s="219" t="s">
        <v>104</v>
      </c>
      <c r="D18" s="308"/>
      <c r="E18" s="311"/>
      <c r="F18" s="294" t="str">
        <f>Y21</f>
        <v>Physics_x000D_(10:25-11:35)</v>
      </c>
      <c r="G18" s="297" t="str">
        <f>Z21</f>
        <v>Physics_x000D_(10:25-11:35)</v>
      </c>
      <c r="H18" s="292"/>
      <c r="I18" s="59"/>
      <c r="Q18" s="225">
        <v>3</v>
      </c>
      <c r="R18" s="226">
        <f>IF(ISERROR(MATCH(D$7, Setup!$V$10:$V$123, 0)), R28, Setup!$D$26)</f>
        <v>3</v>
      </c>
      <c r="S18" s="226">
        <f>IF(ISERROR(MATCH(E$7, Setup!$V$10:$V$123, 0)), S28, Setup!$D$26)</f>
        <v>8</v>
      </c>
      <c r="T18" s="226">
        <f>IF(ISERROR(MATCH(F$7, Setup!$V$10:$V$123, 0)), T28, Setup!$D$26)</f>
        <v>4</v>
      </c>
      <c r="U18" s="226">
        <f>IF(ISERROR(MATCH(G$7, Setup!$V$10:$V$123, 0)), U28, Setup!$D$26)</f>
        <v>1</v>
      </c>
      <c r="V18" s="226">
        <f>IF(ISERROR(MATCH(H$7, Setup!$V$10:$V$123, 0)), V28, Setup!$D$26)</f>
        <v>5</v>
      </c>
      <c r="W18" s="225" t="str">
        <f>INDEX(Setup!$E$10:$E$26, R18 + 1, 1)</f>
        <v>Physics</v>
      </c>
      <c r="X18" s="225" t="str">
        <f>INDEX(Setup!$E$10:$E$26, S18 + 1, 1)</f>
        <v>Lab Free</v>
      </c>
      <c r="Y18" s="225" t="str">
        <f>INDEX(Setup!$E$10:$E$26, T18 + 1, 1)</f>
        <v>Bible</v>
      </c>
      <c r="Z18" s="225" t="str">
        <f>INDEX(Setup!$E$10:$E$26, U18 + 1, 1)</f>
        <v>History</v>
      </c>
      <c r="AA18" s="225" t="str">
        <f>INDEX(Setup!$E$10:$E$26, V18 + 1, 1)</f>
        <v>English</v>
      </c>
      <c r="AB18" s="229" t="str">
        <f>W18&amp;CHAR(10)&amp;$X$10</f>
        <v>Physics
and Lunch</v>
      </c>
      <c r="AC18" s="229" t="str">
        <f>X18&amp;CHAR(10)&amp;$X$10</f>
        <v>Lab Free
and Lunch</v>
      </c>
      <c r="AD18" s="229" t="str">
        <f>Y18&amp;CHAR(10)&amp;$X$10</f>
        <v>Bible
and Lunch</v>
      </c>
      <c r="AE18" s="229" t="str">
        <f>Z18&amp;CHAR(10)&amp;$X$10</f>
        <v>History
and Lunch</v>
      </c>
      <c r="AF18" s="229" t="str">
        <f>AA18&amp;CHAR(10)&amp;$X$10</f>
        <v>English
and Lunch</v>
      </c>
    </row>
    <row r="19" spans="2:32">
      <c r="B19" s="58"/>
      <c r="C19" s="222" t="s">
        <v>105</v>
      </c>
      <c r="D19" s="309"/>
      <c r="E19" s="312"/>
      <c r="F19" s="295"/>
      <c r="G19" s="298"/>
      <c r="H19" s="293"/>
      <c r="I19" s="59"/>
      <c r="Q19" s="225">
        <v>4</v>
      </c>
      <c r="R19" s="226">
        <f>IF(ISERROR(MATCH(D$7, Setup!$V$10:$V$123, 0)), R29, Setup!$D$26)</f>
        <v>4</v>
      </c>
      <c r="S19" s="226">
        <f>IF(ISERROR(MATCH(E$7, Setup!$V$10:$V$123, 0)), S29, Setup!$D$26)</f>
        <v>1</v>
      </c>
      <c r="T19" s="226">
        <f>IF(ISERROR(MATCH(F$7, Setup!$V$10:$V$123, 0)), T29, Setup!$D$26)</f>
        <v>5</v>
      </c>
      <c r="U19" s="226">
        <f>IF(ISERROR(MATCH(G$7, Setup!$V$10:$V$123, 0)), U29, Setup!$D$26)</f>
        <v>2</v>
      </c>
      <c r="V19" s="226">
        <f>IF(ISERROR(MATCH(H$7, Setup!$V$10:$V$123, 0)), V29, Setup!$D$26)</f>
        <v>6</v>
      </c>
      <c r="W19" s="225" t="str">
        <f>INDEX(Setup!$E$10:$E$26, R19 + 1, 1)</f>
        <v>Bible</v>
      </c>
      <c r="X19" s="225" t="str">
        <f>INDEX(Setup!$E$10:$E$26, S19 + 1, 1)</f>
        <v>History</v>
      </c>
      <c r="Y19" s="225" t="str">
        <f>INDEX(Setup!$E$10:$E$26, T19 + 1, 1)</f>
        <v>English</v>
      </c>
      <c r="Z19" s="225" t="str">
        <f>INDEX(Setup!$E$10:$E$26, U19 + 1, 1)</f>
        <v>Math</v>
      </c>
      <c r="AA19" s="225" t="str">
        <f>INDEX(Setup!$E$10:$E$26, V19 + 1, 1)</f>
        <v>Orchestra</v>
      </c>
      <c r="AB19" s="227" t="str">
        <f>W19</f>
        <v>Bible</v>
      </c>
      <c r="AC19" s="227" t="str">
        <f>X19</f>
        <v>History</v>
      </c>
      <c r="AD19" s="227" t="str">
        <f>Y19</f>
        <v>English</v>
      </c>
      <c r="AE19" s="227" t="str">
        <f>Z19</f>
        <v>Math</v>
      </c>
      <c r="AF19" s="227" t="str">
        <f>AA19</f>
        <v>Orchestra</v>
      </c>
    </row>
    <row r="20" spans="2:32" ht="15" customHeight="1">
      <c r="B20" s="58"/>
      <c r="C20" s="214" t="s">
        <v>106</v>
      </c>
      <c r="D20" s="307" t="str">
        <f>W22</f>
        <v>Physics
and Lunch_x000D_(11:05-1:10)</v>
      </c>
      <c r="E20" s="310" t="str">
        <f>X22</f>
        <v>Lab Free
and Lunch_x000D_(11:05-1:10)</v>
      </c>
      <c r="F20" s="296"/>
      <c r="G20" s="299"/>
      <c r="H20" s="291" t="str">
        <f>AA22</f>
        <v>English
and Lunch_x000D_(11:05-1:10)</v>
      </c>
      <c r="I20" s="59"/>
      <c r="Q20" s="230"/>
      <c r="R20" s="231" t="str">
        <f>CONCATENATE("(", INDEX(Setup!$K$74:$Q$77,$Q16,R$10), ")")</f>
        <v>(8:30-9:40)</v>
      </c>
      <c r="S20" s="231" t="str">
        <f>CONCATENATE("(", INDEX(Setup!$K$74:$Q$77,$Q16,S$10), ")")</f>
        <v>(8:30-9:40)</v>
      </c>
      <c r="T20" s="231" t="str">
        <f>CONCATENATE("(", INDEX(Setup!$K$74:$Q$77,$Q16,T$10), ")")</f>
        <v>(9:00-10:10)</v>
      </c>
      <c r="U20" s="231" t="str">
        <f>CONCATENATE("(", INDEX(Setup!$K$74:$Q$77,$Q16,U$10), ")")</f>
        <v>(8:30-9:40)</v>
      </c>
      <c r="V20" s="231" t="str">
        <f>CONCATENATE("(", INDEX(Setup!$K$74:$Q$77,$Q16,V$10), ")")</f>
        <v>(8:30-9:40)</v>
      </c>
      <c r="W20" s="232" t="str">
        <f>AB16&amp;CHAR(13)&amp;R20</f>
        <v>History_x000D_(8:30-9:40)</v>
      </c>
      <c r="X20" s="232" t="str">
        <f t="shared" ref="X20:AA23" si="3">AC16&amp;CHAR(13)&amp;S20</f>
        <v>English_x000D_(8:30-9:40)</v>
      </c>
      <c r="Y20" s="232" t="str">
        <f t="shared" si="3"/>
        <v>Math_x000D_(9:00-10:10)</v>
      </c>
      <c r="Z20" s="232" t="str">
        <f t="shared" si="3"/>
        <v>Orchestra_x000D_(8:30-9:40)</v>
      </c>
      <c r="AA20" s="232" t="str">
        <f t="shared" si="3"/>
        <v>Physics_x000D_(8:30-9:40)</v>
      </c>
    </row>
    <row r="21" spans="2:32" ht="15.75" customHeight="1" thickBot="1">
      <c r="B21" s="58"/>
      <c r="C21" s="219" t="s">
        <v>107</v>
      </c>
      <c r="D21" s="308"/>
      <c r="E21" s="311"/>
      <c r="F21" s="294" t="str">
        <f>Y22</f>
        <v>Bible
and Lunch_x000D_(11:35-1:40)</v>
      </c>
      <c r="G21" s="297" t="str">
        <f>Z22</f>
        <v>History
and Lunch_x000D_(11:35-1:40)</v>
      </c>
      <c r="H21" s="292"/>
      <c r="I21" s="59"/>
      <c r="Q21" s="230"/>
      <c r="R21" s="231" t="str">
        <f>CONCATENATE("(", INDEX(Setup!$K$74:$Q$77,$Q17,R$10), ")")</f>
        <v>(9:55-11:05)</v>
      </c>
      <c r="S21" s="231" t="str">
        <f>CONCATENATE("(", INDEX(Setup!$K$74:$Q$77,$Q17,S$10), ")")</f>
        <v>(9:55-11:05)</v>
      </c>
      <c r="T21" s="231" t="str">
        <f>CONCATENATE("(", INDEX(Setup!$K$74:$Q$77,$Q17,T$10), ")")</f>
        <v>(10:25-11:35)</v>
      </c>
      <c r="U21" s="231" t="str">
        <f>CONCATENATE("(", INDEX(Setup!$K$74:$Q$77,$Q17,U$10), ")")</f>
        <v>(10:25-11:35)</v>
      </c>
      <c r="V21" s="231" t="str">
        <f>CONCATENATE("(", INDEX(Setup!$K$74:$Q$77,$Q17,V$10), ")")</f>
        <v>(9:55-11:05)</v>
      </c>
      <c r="W21" s="232" t="str">
        <f t="shared" ref="W21:W23" si="4">AB17&amp;CHAR(13)&amp;R21</f>
        <v>Math_x000D_(9:55-11:05)</v>
      </c>
      <c r="X21" s="232" t="str">
        <f t="shared" si="3"/>
        <v>Orchestra_x000D_(9:55-11:05)</v>
      </c>
      <c r="Y21" s="232" t="str">
        <f t="shared" si="3"/>
        <v>Physics_x000D_(10:25-11:35)</v>
      </c>
      <c r="Z21" s="232" t="str">
        <f t="shared" si="3"/>
        <v>Physics_x000D_(10:25-11:35)</v>
      </c>
      <c r="AA21" s="232" t="str">
        <f t="shared" si="3"/>
        <v>Bible_x000D_(9:55-11:05)</v>
      </c>
    </row>
    <row r="22" spans="2:32" ht="15" thickBot="1">
      <c r="B22" s="58"/>
      <c r="C22" s="233" t="s">
        <v>108</v>
      </c>
      <c r="D22" s="308"/>
      <c r="E22" s="311"/>
      <c r="F22" s="295"/>
      <c r="G22" s="298"/>
      <c r="H22" s="292"/>
      <c r="I22" s="59"/>
      <c r="Q22" s="230"/>
      <c r="R22" s="231" t="str">
        <f>CONCATENATE("(", INDEX(Setup!$K$74:$Q$77,$Q18,R$10), ")")</f>
        <v>(11:05-1:10)</v>
      </c>
      <c r="S22" s="231" t="str">
        <f>CONCATENATE("(", INDEX(Setup!$K$74:$Q$77,$Q18,S$10), ")")</f>
        <v>(11:05-1:10)</v>
      </c>
      <c r="T22" s="231" t="str">
        <f>CONCATENATE("(", INDEX(Setup!$K$74:$Q$77,$Q18,T$10), ")")</f>
        <v>(11:35-1:40)</v>
      </c>
      <c r="U22" s="231" t="str">
        <f>CONCATENATE("(", INDEX(Setup!$K$74:$Q$77,$Q18,U$10), ")")</f>
        <v>(11:35-1:40)</v>
      </c>
      <c r="V22" s="231" t="str">
        <f>CONCATENATE("(", INDEX(Setup!$K$74:$Q$77,$Q18,V$10), ")")</f>
        <v>(11:05-1:10)</v>
      </c>
      <c r="W22" s="232" t="str">
        <f t="shared" si="4"/>
        <v>Physics
and Lunch_x000D_(11:05-1:10)</v>
      </c>
      <c r="X22" s="232" t="str">
        <f t="shared" si="3"/>
        <v>Lab Free
and Lunch_x000D_(11:05-1:10)</v>
      </c>
      <c r="Y22" s="232" t="str">
        <f t="shared" si="3"/>
        <v>Bible
and Lunch_x000D_(11:35-1:40)</v>
      </c>
      <c r="Z22" s="232" t="str">
        <f t="shared" si="3"/>
        <v>History
and Lunch_x000D_(11:35-1:40)</v>
      </c>
      <c r="AA22" s="232" t="str">
        <f t="shared" si="3"/>
        <v>English
and Lunch_x000D_(11:05-1:10)</v>
      </c>
    </row>
    <row r="23" spans="2:32">
      <c r="B23" s="58"/>
      <c r="C23" s="222" t="s">
        <v>109</v>
      </c>
      <c r="D23" s="309"/>
      <c r="E23" s="312"/>
      <c r="F23" s="295"/>
      <c r="G23" s="298"/>
      <c r="H23" s="293"/>
      <c r="I23" s="59"/>
      <c r="Q23" s="230"/>
      <c r="R23" s="231" t="str">
        <f>CONCATENATE("(", INDEX(Setup!$K$74:$Q$77,$Q19,R$10), ")")</f>
        <v>(1:50-3:00)</v>
      </c>
      <c r="S23" s="231" t="str">
        <f>CONCATENATE("(", INDEX(Setup!$K$74:$Q$77,$Q19,S$10), ")")</f>
        <v>(1:50-3:00)</v>
      </c>
      <c r="T23" s="231" t="str">
        <f>CONCATENATE("(", INDEX(Setup!$K$74:$Q$77,$Q19,T$10), ")")</f>
        <v>(1:50-3:00)</v>
      </c>
      <c r="U23" s="231" t="str">
        <f>CONCATENATE("(", INDEX(Setup!$K$74:$Q$77,$Q19,U$10), ")")</f>
        <v>(1:50-3:00)</v>
      </c>
      <c r="V23" s="231" t="str">
        <f>CONCATENATE("(", INDEX(Setup!$K$74:$Q$77,$Q19,V$10), ")")</f>
        <v>(1:20-2:30)</v>
      </c>
      <c r="W23" s="232" t="str">
        <f t="shared" si="4"/>
        <v>Bible_x000D_(1:50-3:00)</v>
      </c>
      <c r="X23" s="232" t="str">
        <f t="shared" si="3"/>
        <v>History_x000D_(1:50-3:00)</v>
      </c>
      <c r="Y23" s="232" t="str">
        <f t="shared" si="3"/>
        <v>English_x000D_(1:50-3:00)</v>
      </c>
      <c r="Z23" s="232" t="str">
        <f t="shared" si="3"/>
        <v>Math_x000D_(1:50-3:00)</v>
      </c>
      <c r="AA23" s="232" t="str">
        <f t="shared" si="3"/>
        <v>Orchestra_x000D_(1:20-2:30)</v>
      </c>
    </row>
    <row r="24" spans="2:32" ht="15" customHeight="1">
      <c r="B24" s="58"/>
      <c r="C24" s="214" t="s">
        <v>110</v>
      </c>
      <c r="D24" s="300" t="s">
        <v>111</v>
      </c>
      <c r="E24" s="303" t="s">
        <v>112</v>
      </c>
      <c r="F24" s="295"/>
      <c r="G24" s="298"/>
      <c r="H24" s="221" t="s">
        <v>11</v>
      </c>
      <c r="I24" s="59"/>
    </row>
    <row r="25" spans="2:32" ht="15" customHeight="1">
      <c r="B25" s="58"/>
      <c r="C25" s="214" t="s">
        <v>113</v>
      </c>
      <c r="D25" s="301"/>
      <c r="E25" s="304"/>
      <c r="F25" s="296"/>
      <c r="G25" s="299"/>
      <c r="H25" s="291" t="str">
        <f>AA23</f>
        <v>Orchestra_x000D_(1:20-2:30)</v>
      </c>
      <c r="I25" s="59"/>
    </row>
    <row r="26" spans="2:32">
      <c r="B26" s="58"/>
      <c r="C26" s="214" t="s">
        <v>114</v>
      </c>
      <c r="D26" s="302"/>
      <c r="E26" s="305"/>
      <c r="F26" s="228" t="s">
        <v>11</v>
      </c>
      <c r="G26" s="234" t="s">
        <v>11</v>
      </c>
      <c r="H26" s="292"/>
      <c r="I26" s="59"/>
      <c r="Q26" s="225">
        <v>1</v>
      </c>
      <c r="R26" s="226">
        <f>INDEX(Setup!$K$88:$Q$91, $Q26, Weekly!R$13)</f>
        <v>1</v>
      </c>
      <c r="S26" s="226">
        <f>INDEX(Setup!$K$88:$Q$91, $Q26, Weekly!S$13)</f>
        <v>5</v>
      </c>
      <c r="T26" s="226">
        <f>INDEX(Setup!$K$88:$Q$91, $Q26, Weekly!T$13)</f>
        <v>2</v>
      </c>
      <c r="U26" s="226">
        <f>INDEX(Setup!$K$88:$Q$91, $Q26, Weekly!U$13)</f>
        <v>6</v>
      </c>
      <c r="V26" s="226">
        <f>INDEX(Setup!$K$88:$Q$91, $Q26, Weekly!V$13)</f>
        <v>3</v>
      </c>
    </row>
    <row r="27" spans="2:32" ht="15.75" customHeight="1" thickBot="1">
      <c r="B27" s="58"/>
      <c r="C27" s="219" t="s">
        <v>115</v>
      </c>
      <c r="D27" s="307" t="str">
        <f>W23</f>
        <v>Bible_x000D_(1:50-3:00)</v>
      </c>
      <c r="E27" s="310" t="str">
        <f>X23</f>
        <v>History_x000D_(1:50-3:00)</v>
      </c>
      <c r="F27" s="313" t="str">
        <f>Y23</f>
        <v>English_x000D_(1:50-3:00)</v>
      </c>
      <c r="G27" s="316" t="str">
        <f>Z23</f>
        <v>Math_x000D_(1:50-3:00)</v>
      </c>
      <c r="H27" s="292"/>
      <c r="I27" s="59"/>
      <c r="Q27" s="225">
        <v>2</v>
      </c>
      <c r="R27" s="226">
        <f>INDEX(Setup!$K$88:$Q$91, $Q27, Weekly!R$13)</f>
        <v>2</v>
      </c>
      <c r="S27" s="226">
        <f>INDEX(Setup!$K$88:$Q$91, $Q27, Weekly!S$13)</f>
        <v>6</v>
      </c>
      <c r="T27" s="226">
        <f>INDEX(Setup!$K$88:$Q$91, $Q27, Weekly!T$13)</f>
        <v>3</v>
      </c>
      <c r="U27" s="226">
        <f>INDEX(Setup!$K$88:$Q$91, $Q27, Weekly!U$13)</f>
        <v>7</v>
      </c>
      <c r="V27" s="226">
        <f>INDEX(Setup!$K$88:$Q$91, $Q27, Weekly!V$13)</f>
        <v>4</v>
      </c>
    </row>
    <row r="28" spans="2:32" ht="15" thickBot="1">
      <c r="B28" s="58"/>
      <c r="C28" s="222" t="s">
        <v>116</v>
      </c>
      <c r="D28" s="308"/>
      <c r="E28" s="311"/>
      <c r="F28" s="314"/>
      <c r="G28" s="316"/>
      <c r="H28" s="306"/>
      <c r="I28" s="59"/>
      <c r="Q28" s="225">
        <v>3</v>
      </c>
      <c r="R28" s="226">
        <f>INDEX(Setup!$K$88:$Q$91, $Q28, Weekly!R$13)</f>
        <v>3</v>
      </c>
      <c r="S28" s="226">
        <f>INDEX(Setup!$K$88:$Q$91, $Q28, Weekly!S$13)</f>
        <v>8</v>
      </c>
      <c r="T28" s="226">
        <f>INDEX(Setup!$K$88:$Q$91, $Q28, Weekly!T$13)</f>
        <v>4</v>
      </c>
      <c r="U28" s="226">
        <f>INDEX(Setup!$K$88:$Q$91, $Q28, Weekly!U$13)</f>
        <v>1</v>
      </c>
      <c r="V28" s="226">
        <f>INDEX(Setup!$K$88:$Q$91, $Q28, Weekly!V$13)</f>
        <v>5</v>
      </c>
    </row>
    <row r="29" spans="2:32" ht="15" thickBot="1">
      <c r="B29" s="58"/>
      <c r="C29" s="219" t="s">
        <v>117</v>
      </c>
      <c r="D29" s="309"/>
      <c r="E29" s="312"/>
      <c r="F29" s="315"/>
      <c r="G29" s="317"/>
      <c r="H29" s="235"/>
      <c r="I29" s="59"/>
      <c r="Q29" s="225">
        <v>4</v>
      </c>
      <c r="R29" s="226">
        <f>INDEX(Setup!$K$88:$Q$91, $Q29, Weekly!R$13)</f>
        <v>4</v>
      </c>
      <c r="S29" s="226">
        <f>INDEX(Setup!$K$88:$Q$91, $Q29, Weekly!S$13)</f>
        <v>1</v>
      </c>
      <c r="T29" s="226">
        <f>INDEX(Setup!$K$88:$Q$91, $Q29, Weekly!T$13)</f>
        <v>5</v>
      </c>
      <c r="U29" s="226">
        <f>INDEX(Setup!$K$88:$Q$91, $Q29, Weekly!U$13)</f>
        <v>2</v>
      </c>
      <c r="V29" s="226">
        <f>INDEX(Setup!$K$88:$Q$91, $Q29, Weekly!V$13)</f>
        <v>6</v>
      </c>
    </row>
    <row r="30" spans="2:32" ht="51" customHeight="1" thickBot="1">
      <c r="B30" s="58"/>
      <c r="C30" s="236" t="s">
        <v>118</v>
      </c>
      <c r="D30" s="237" t="s">
        <v>119</v>
      </c>
      <c r="E30" s="237" t="s">
        <v>119</v>
      </c>
      <c r="F30" s="238" t="s">
        <v>119</v>
      </c>
      <c r="G30" s="239" t="s">
        <v>119</v>
      </c>
      <c r="H30" s="240"/>
      <c r="I30" s="59"/>
    </row>
    <row r="31" spans="2:32" ht="15" customHeight="1">
      <c r="B31" s="58"/>
      <c r="C31" s="241"/>
      <c r="D31" s="242"/>
      <c r="E31" s="242"/>
      <c r="F31" s="242"/>
      <c r="G31" s="242"/>
      <c r="H31" s="240"/>
      <c r="I31" s="59"/>
    </row>
    <row r="32" spans="2:32" ht="15" thickBot="1">
      <c r="B32" s="64"/>
      <c r="C32" s="28"/>
      <c r="D32" s="28"/>
      <c r="E32" s="28"/>
      <c r="F32" s="28"/>
      <c r="G32" s="28"/>
      <c r="H32" s="28"/>
      <c r="I32" s="65"/>
    </row>
  </sheetData>
  <mergeCells count="29">
    <mergeCell ref="E10:E11"/>
    <mergeCell ref="F10:F12"/>
    <mergeCell ref="G10:G11"/>
    <mergeCell ref="D12:D13"/>
    <mergeCell ref="E12:E13"/>
    <mergeCell ref="G12:G13"/>
    <mergeCell ref="D15:D19"/>
    <mergeCell ref="E15:E19"/>
    <mergeCell ref="H15:H19"/>
    <mergeCell ref="F18:F20"/>
    <mergeCell ref="G18:G20"/>
    <mergeCell ref="D20:D23"/>
    <mergeCell ref="E20:E23"/>
    <mergeCell ref="B2:I2"/>
    <mergeCell ref="C5:H5"/>
    <mergeCell ref="C4:H4"/>
    <mergeCell ref="H20:H23"/>
    <mergeCell ref="F21:F25"/>
    <mergeCell ref="G21:G25"/>
    <mergeCell ref="D24:D26"/>
    <mergeCell ref="E24:E26"/>
    <mergeCell ref="H25:H28"/>
    <mergeCell ref="D27:D29"/>
    <mergeCell ref="E27:E29"/>
    <mergeCell ref="F27:F29"/>
    <mergeCell ref="G27:G29"/>
    <mergeCell ref="H12:H13"/>
    <mergeCell ref="F13:F16"/>
    <mergeCell ref="G14:G17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C2:M46"/>
  <sheetViews>
    <sheetView showGridLines="0" zoomScale="125" zoomScaleNormal="125" zoomScalePageLayoutView="125" workbookViewId="0">
      <selection activeCell="E6" sqref="E6:K6"/>
    </sheetView>
  </sheetViews>
  <sheetFormatPr baseColWidth="10" defaultColWidth="8.83203125" defaultRowHeight="14" x14ac:dyDescent="0"/>
  <cols>
    <col min="1" max="1" width="8.6640625" style="55" customWidth="1"/>
    <col min="2" max="2" width="35.6640625" style="55" customWidth="1"/>
    <col min="3" max="16384" width="8.83203125" style="55"/>
  </cols>
  <sheetData>
    <row r="2" spans="3:13" ht="25" customHeight="1" thickBot="1"/>
    <row r="3" spans="3:13" ht="30" customHeight="1" thickBot="1">
      <c r="C3" s="243" t="s">
        <v>64</v>
      </c>
      <c r="D3" s="244"/>
      <c r="E3" s="244"/>
      <c r="F3" s="244"/>
      <c r="G3" s="244"/>
      <c r="H3" s="244"/>
      <c r="I3" s="244"/>
      <c r="J3" s="244"/>
      <c r="K3" s="244"/>
      <c r="L3" s="244"/>
      <c r="M3" s="245"/>
    </row>
    <row r="4" spans="3:13" ht="15" thickBot="1">
      <c r="C4" s="76"/>
      <c r="D4" s="77"/>
      <c r="E4" s="77"/>
      <c r="F4" s="77"/>
      <c r="G4" s="77"/>
      <c r="H4" s="77"/>
      <c r="I4" s="77"/>
      <c r="J4" s="77"/>
      <c r="K4" s="77"/>
      <c r="L4" s="77"/>
      <c r="M4" s="78"/>
    </row>
    <row r="5" spans="3:13">
      <c r="C5" s="58"/>
      <c r="D5" s="79"/>
      <c r="E5" s="80"/>
      <c r="F5" s="80"/>
      <c r="G5" s="80"/>
      <c r="H5" s="80"/>
      <c r="I5" s="80"/>
      <c r="J5" s="80"/>
      <c r="K5" s="80"/>
      <c r="L5" s="81"/>
      <c r="M5" s="59"/>
    </row>
    <row r="6" spans="3:13" ht="25" customHeight="1">
      <c r="C6" s="58"/>
      <c r="D6" s="82"/>
      <c r="E6" s="325" t="s">
        <v>62</v>
      </c>
      <c r="F6" s="325"/>
      <c r="G6" s="325"/>
      <c r="H6" s="325"/>
      <c r="I6" s="325"/>
      <c r="J6" s="325"/>
      <c r="K6" s="325"/>
      <c r="L6" s="83"/>
      <c r="M6" s="59"/>
    </row>
    <row r="7" spans="3:13" ht="15" customHeight="1">
      <c r="C7" s="58"/>
      <c r="D7" s="82"/>
      <c r="E7" s="246" t="s">
        <v>68</v>
      </c>
      <c r="F7" s="326"/>
      <c r="G7" s="326"/>
      <c r="H7" s="326"/>
      <c r="I7" s="326"/>
      <c r="J7" s="326"/>
      <c r="K7" s="326"/>
      <c r="L7" s="83"/>
      <c r="M7" s="59"/>
    </row>
    <row r="8" spans="3:13" ht="15" customHeight="1">
      <c r="C8" s="58"/>
      <c r="D8" s="82"/>
      <c r="E8" s="326"/>
      <c r="F8" s="326"/>
      <c r="G8" s="326"/>
      <c r="H8" s="326"/>
      <c r="I8" s="326"/>
      <c r="J8" s="326"/>
      <c r="K8" s="326"/>
      <c r="L8" s="83"/>
      <c r="M8" s="59"/>
    </row>
    <row r="9" spans="3:13" ht="15" customHeight="1">
      <c r="C9" s="58"/>
      <c r="D9" s="82"/>
      <c r="E9" s="326"/>
      <c r="F9" s="326"/>
      <c r="G9" s="326"/>
      <c r="H9" s="326"/>
      <c r="I9" s="326"/>
      <c r="J9" s="326"/>
      <c r="K9" s="326"/>
      <c r="L9" s="83"/>
      <c r="M9" s="59"/>
    </row>
    <row r="10" spans="3:13" ht="15" customHeight="1">
      <c r="C10" s="58"/>
      <c r="D10" s="82"/>
      <c r="E10" s="326"/>
      <c r="F10" s="326"/>
      <c r="G10" s="326"/>
      <c r="H10" s="326"/>
      <c r="I10" s="326"/>
      <c r="J10" s="326"/>
      <c r="K10" s="326"/>
      <c r="L10" s="83"/>
      <c r="M10" s="59"/>
    </row>
    <row r="11" spans="3:13" ht="15" customHeight="1" thickBot="1">
      <c r="C11" s="58"/>
      <c r="D11" s="84"/>
      <c r="E11" s="88"/>
      <c r="F11" s="88"/>
      <c r="G11" s="88"/>
      <c r="H11" s="88"/>
      <c r="I11" s="88"/>
      <c r="J11" s="88"/>
      <c r="K11" s="88"/>
      <c r="L11" s="86"/>
      <c r="M11" s="59"/>
    </row>
    <row r="12" spans="3:13" ht="15" customHeight="1" thickBot="1">
      <c r="C12" s="58"/>
      <c r="D12" s="20"/>
      <c r="E12" s="87"/>
      <c r="F12" s="87"/>
      <c r="G12" s="87"/>
      <c r="H12" s="87"/>
      <c r="I12" s="87"/>
      <c r="J12" s="87"/>
      <c r="K12" s="87"/>
      <c r="L12" s="20"/>
      <c r="M12" s="59"/>
    </row>
    <row r="13" spans="3:13" ht="15" customHeight="1">
      <c r="C13" s="58"/>
      <c r="D13" s="79"/>
      <c r="E13" s="80"/>
      <c r="F13" s="80"/>
      <c r="G13" s="80"/>
      <c r="H13" s="80"/>
      <c r="I13" s="80"/>
      <c r="J13" s="80"/>
      <c r="K13" s="80"/>
      <c r="L13" s="81"/>
      <c r="M13" s="59"/>
    </row>
    <row r="14" spans="3:13" ht="25" customHeight="1">
      <c r="C14" s="58"/>
      <c r="D14" s="82"/>
      <c r="E14" s="325" t="s">
        <v>66</v>
      </c>
      <c r="F14" s="325"/>
      <c r="G14" s="325"/>
      <c r="H14" s="325"/>
      <c r="I14" s="325"/>
      <c r="J14" s="325"/>
      <c r="K14" s="325"/>
      <c r="L14" s="83"/>
      <c r="M14" s="59"/>
    </row>
    <row r="15" spans="3:13" ht="15" customHeight="1">
      <c r="C15" s="58"/>
      <c r="D15" s="82"/>
      <c r="E15" s="328" t="s">
        <v>69</v>
      </c>
      <c r="F15" s="328"/>
      <c r="G15" s="328"/>
      <c r="H15" s="328"/>
      <c r="I15" s="328"/>
      <c r="J15" s="328"/>
      <c r="K15" s="328"/>
      <c r="L15" s="83"/>
      <c r="M15" s="59"/>
    </row>
    <row r="16" spans="3:13" ht="15" customHeight="1">
      <c r="C16" s="58"/>
      <c r="D16" s="82"/>
      <c r="E16" s="328"/>
      <c r="F16" s="328"/>
      <c r="G16" s="328"/>
      <c r="H16" s="328"/>
      <c r="I16" s="328"/>
      <c r="J16" s="328"/>
      <c r="K16" s="328"/>
      <c r="L16" s="83"/>
      <c r="M16" s="59"/>
    </row>
    <row r="17" spans="3:13" ht="15" customHeight="1">
      <c r="C17" s="58"/>
      <c r="D17" s="82"/>
      <c r="E17" s="328"/>
      <c r="F17" s="328"/>
      <c r="G17" s="328"/>
      <c r="H17" s="328"/>
      <c r="I17" s="328"/>
      <c r="J17" s="328"/>
      <c r="K17" s="328"/>
      <c r="L17" s="83"/>
      <c r="M17" s="59"/>
    </row>
    <row r="18" spans="3:13" ht="15" customHeight="1">
      <c r="C18" s="58"/>
      <c r="D18" s="82"/>
      <c r="E18" s="328"/>
      <c r="F18" s="328"/>
      <c r="G18" s="328"/>
      <c r="H18" s="328"/>
      <c r="I18" s="328"/>
      <c r="J18" s="328"/>
      <c r="K18" s="328"/>
      <c r="L18" s="83"/>
      <c r="M18" s="59"/>
    </row>
    <row r="19" spans="3:13" ht="15.75" customHeight="1">
      <c r="C19" s="58"/>
      <c r="D19" s="82"/>
      <c r="E19" s="328"/>
      <c r="F19" s="328"/>
      <c r="G19" s="328"/>
      <c r="H19" s="328"/>
      <c r="I19" s="328"/>
      <c r="J19" s="328"/>
      <c r="K19" s="328"/>
      <c r="L19" s="83"/>
      <c r="M19" s="59"/>
    </row>
    <row r="20" spans="3:13" ht="15" thickBot="1">
      <c r="C20" s="58"/>
      <c r="D20" s="89"/>
      <c r="E20" s="90"/>
      <c r="F20" s="90"/>
      <c r="G20" s="90"/>
      <c r="H20" s="90"/>
      <c r="I20" s="90"/>
      <c r="J20" s="90"/>
      <c r="K20" s="90"/>
      <c r="L20" s="91"/>
      <c r="M20" s="59"/>
    </row>
    <row r="21" spans="3:13" ht="15" thickBot="1">
      <c r="C21" s="58"/>
      <c r="D21" s="27"/>
      <c r="E21" s="27"/>
      <c r="F21" s="27"/>
      <c r="G21" s="27"/>
      <c r="H21" s="27"/>
      <c r="I21" s="27"/>
      <c r="J21" s="27"/>
      <c r="K21" s="27"/>
      <c r="L21" s="27"/>
      <c r="M21" s="59"/>
    </row>
    <row r="22" spans="3:13">
      <c r="C22" s="58"/>
      <c r="D22" s="79"/>
      <c r="E22" s="80"/>
      <c r="F22" s="80"/>
      <c r="G22" s="80"/>
      <c r="H22" s="80"/>
      <c r="I22" s="80"/>
      <c r="J22" s="80"/>
      <c r="K22" s="80"/>
      <c r="L22" s="81"/>
      <c r="M22" s="59"/>
    </row>
    <row r="23" spans="3:13" ht="23">
      <c r="C23" s="58"/>
      <c r="D23" s="82"/>
      <c r="E23" s="325" t="s">
        <v>63</v>
      </c>
      <c r="F23" s="325"/>
      <c r="G23" s="325"/>
      <c r="H23" s="325"/>
      <c r="I23" s="325"/>
      <c r="J23" s="325"/>
      <c r="K23" s="325"/>
      <c r="L23" s="83"/>
      <c r="M23" s="59"/>
    </row>
    <row r="24" spans="3:13">
      <c r="C24" s="58"/>
      <c r="D24" s="82"/>
      <c r="E24" s="246" t="s">
        <v>78</v>
      </c>
      <c r="F24" s="326"/>
      <c r="G24" s="326"/>
      <c r="H24" s="326"/>
      <c r="I24" s="326"/>
      <c r="J24" s="326"/>
      <c r="K24" s="326"/>
      <c r="L24" s="83"/>
      <c r="M24" s="59"/>
    </row>
    <row r="25" spans="3:13">
      <c r="C25" s="58"/>
      <c r="D25" s="82"/>
      <c r="E25" s="326"/>
      <c r="F25" s="326"/>
      <c r="G25" s="326"/>
      <c r="H25" s="326"/>
      <c r="I25" s="326"/>
      <c r="J25" s="326"/>
      <c r="K25" s="326"/>
      <c r="L25" s="83"/>
      <c r="M25" s="59"/>
    </row>
    <row r="26" spans="3:13">
      <c r="C26" s="58"/>
      <c r="D26" s="82"/>
      <c r="E26" s="326"/>
      <c r="F26" s="326"/>
      <c r="G26" s="326"/>
      <c r="H26" s="326"/>
      <c r="I26" s="326"/>
      <c r="J26" s="326"/>
      <c r="K26" s="326"/>
      <c r="L26" s="83"/>
      <c r="M26" s="59"/>
    </row>
    <row r="27" spans="3:13">
      <c r="C27" s="58"/>
      <c r="D27" s="82"/>
      <c r="E27" s="326"/>
      <c r="F27" s="326"/>
      <c r="G27" s="326"/>
      <c r="H27" s="326"/>
      <c r="I27" s="326"/>
      <c r="J27" s="326"/>
      <c r="K27" s="326"/>
      <c r="L27" s="83"/>
      <c r="M27" s="59"/>
    </row>
    <row r="28" spans="3:13" ht="24" thickBot="1">
      <c r="C28" s="58"/>
      <c r="D28" s="84"/>
      <c r="E28" s="88"/>
      <c r="F28" s="88"/>
      <c r="G28" s="88"/>
      <c r="H28" s="88"/>
      <c r="I28" s="88"/>
      <c r="J28" s="88"/>
      <c r="K28" s="88"/>
      <c r="L28" s="86"/>
      <c r="M28" s="59"/>
    </row>
    <row r="29" spans="3:13" ht="15" thickBot="1">
      <c r="C29" s="58"/>
      <c r="D29" s="27"/>
      <c r="E29" s="27"/>
      <c r="F29" s="27"/>
      <c r="G29" s="27"/>
      <c r="H29" s="27"/>
      <c r="I29" s="27"/>
      <c r="J29" s="27"/>
      <c r="K29" s="27"/>
      <c r="L29" s="27"/>
      <c r="M29" s="59"/>
    </row>
    <row r="30" spans="3:13">
      <c r="C30" s="58"/>
      <c r="D30" s="79"/>
      <c r="E30" s="80"/>
      <c r="F30" s="80"/>
      <c r="G30" s="80"/>
      <c r="H30" s="80"/>
      <c r="I30" s="80"/>
      <c r="J30" s="80"/>
      <c r="K30" s="80"/>
      <c r="L30" s="81"/>
      <c r="M30" s="59"/>
    </row>
    <row r="31" spans="3:13" ht="23">
      <c r="C31" s="58"/>
      <c r="D31" s="82"/>
      <c r="E31" s="325" t="s">
        <v>70</v>
      </c>
      <c r="F31" s="325"/>
      <c r="G31" s="325"/>
      <c r="H31" s="325"/>
      <c r="I31" s="325"/>
      <c r="J31" s="325"/>
      <c r="K31" s="325"/>
      <c r="L31" s="83"/>
      <c r="M31" s="59"/>
    </row>
    <row r="32" spans="3:13" ht="15" customHeight="1">
      <c r="C32" s="58"/>
      <c r="D32" s="82"/>
      <c r="E32" s="246" t="s">
        <v>71</v>
      </c>
      <c r="F32" s="246"/>
      <c r="G32" s="246"/>
      <c r="H32" s="246"/>
      <c r="I32" s="246"/>
      <c r="J32" s="246"/>
      <c r="K32" s="246"/>
      <c r="L32" s="93"/>
      <c r="M32" s="59"/>
    </row>
    <row r="33" spans="3:13" ht="15" customHeight="1">
      <c r="C33" s="58"/>
      <c r="D33" s="82"/>
      <c r="E33" s="246"/>
      <c r="F33" s="246"/>
      <c r="G33" s="246"/>
      <c r="H33" s="246"/>
      <c r="I33" s="246"/>
      <c r="J33" s="246"/>
      <c r="K33" s="246"/>
      <c r="L33" s="93"/>
      <c r="M33" s="59"/>
    </row>
    <row r="34" spans="3:13" ht="15" customHeight="1">
      <c r="C34" s="58"/>
      <c r="D34" s="82"/>
      <c r="E34" s="246"/>
      <c r="F34" s="246"/>
      <c r="G34" s="246"/>
      <c r="H34" s="246"/>
      <c r="I34" s="246"/>
      <c r="J34" s="246"/>
      <c r="K34" s="246"/>
      <c r="L34" s="93"/>
      <c r="M34" s="59"/>
    </row>
    <row r="35" spans="3:13" ht="15" customHeight="1">
      <c r="C35" s="58"/>
      <c r="D35" s="82"/>
      <c r="E35" s="246"/>
      <c r="F35" s="246"/>
      <c r="G35" s="246"/>
      <c r="H35" s="246"/>
      <c r="I35" s="246"/>
      <c r="J35" s="246"/>
      <c r="K35" s="246"/>
      <c r="L35" s="93"/>
      <c r="M35" s="59"/>
    </row>
    <row r="36" spans="3:13" ht="15.75" customHeight="1">
      <c r="C36" s="58"/>
      <c r="D36" s="82"/>
      <c r="E36" s="246"/>
      <c r="F36" s="246"/>
      <c r="G36" s="246"/>
      <c r="H36" s="246"/>
      <c r="I36" s="246"/>
      <c r="J36" s="246"/>
      <c r="K36" s="246"/>
      <c r="L36" s="93"/>
      <c r="M36" s="59"/>
    </row>
    <row r="37" spans="3:13" ht="15" customHeight="1" thickBot="1">
      <c r="C37" s="58"/>
      <c r="D37" s="89"/>
      <c r="E37" s="96"/>
      <c r="F37" s="96"/>
      <c r="G37" s="96"/>
      <c r="H37" s="96"/>
      <c r="I37" s="96"/>
      <c r="J37" s="96"/>
      <c r="K37" s="96"/>
      <c r="L37" s="94"/>
      <c r="M37" s="59"/>
    </row>
    <row r="38" spans="3:13" ht="15" thickBot="1">
      <c r="C38" s="58"/>
      <c r="D38" s="27"/>
      <c r="E38" s="27"/>
      <c r="F38" s="27"/>
      <c r="G38" s="27"/>
      <c r="H38" s="27"/>
      <c r="I38" s="27"/>
      <c r="J38" s="27"/>
      <c r="K38" s="27"/>
      <c r="L38" s="27"/>
      <c r="M38" s="59"/>
    </row>
    <row r="39" spans="3:13">
      <c r="C39" s="58"/>
      <c r="D39" s="79"/>
      <c r="E39" s="80"/>
      <c r="F39" s="80"/>
      <c r="G39" s="80"/>
      <c r="H39" s="80"/>
      <c r="I39" s="80"/>
      <c r="J39" s="80"/>
      <c r="K39" s="80"/>
      <c r="L39" s="81"/>
      <c r="M39" s="59"/>
    </row>
    <row r="40" spans="3:13" ht="23">
      <c r="C40" s="58"/>
      <c r="D40" s="82"/>
      <c r="E40" s="325" t="s">
        <v>65</v>
      </c>
      <c r="F40" s="325"/>
      <c r="G40" s="325"/>
      <c r="H40" s="325"/>
      <c r="I40" s="325"/>
      <c r="J40" s="325"/>
      <c r="K40" s="325"/>
      <c r="L40" s="83"/>
      <c r="M40" s="59"/>
    </row>
    <row r="41" spans="3:13">
      <c r="C41" s="58"/>
      <c r="D41" s="82"/>
      <c r="E41" s="327" t="s">
        <v>67</v>
      </c>
      <c r="F41" s="327"/>
      <c r="G41" s="327"/>
      <c r="H41" s="327"/>
      <c r="I41" s="327"/>
      <c r="J41" s="327"/>
      <c r="K41" s="327"/>
      <c r="L41" s="83"/>
      <c r="M41" s="59"/>
    </row>
    <row r="42" spans="3:13">
      <c r="C42" s="58"/>
      <c r="D42" s="82"/>
      <c r="E42" s="327"/>
      <c r="F42" s="327"/>
      <c r="G42" s="327"/>
      <c r="H42" s="327"/>
      <c r="I42" s="327"/>
      <c r="J42" s="327"/>
      <c r="K42" s="327"/>
      <c r="L42" s="83"/>
      <c r="M42" s="59"/>
    </row>
    <row r="43" spans="3:13">
      <c r="C43" s="58"/>
      <c r="D43" s="82"/>
      <c r="E43" s="327"/>
      <c r="F43" s="327"/>
      <c r="G43" s="327"/>
      <c r="H43" s="327"/>
      <c r="I43" s="327"/>
      <c r="J43" s="327"/>
      <c r="K43" s="327"/>
      <c r="L43" s="83"/>
      <c r="M43" s="59"/>
    </row>
    <row r="44" spans="3:13" ht="24" thickBot="1">
      <c r="C44" s="58"/>
      <c r="D44" s="84"/>
      <c r="E44" s="92"/>
      <c r="F44" s="92"/>
      <c r="G44" s="92"/>
      <c r="H44" s="92"/>
      <c r="I44" s="92"/>
      <c r="J44" s="92"/>
      <c r="K44" s="92"/>
      <c r="L44" s="86"/>
      <c r="M44" s="59"/>
    </row>
    <row r="45" spans="3:13">
      <c r="C45" s="58"/>
      <c r="D45" s="27"/>
      <c r="E45" s="27"/>
      <c r="F45" s="27"/>
      <c r="G45" s="27"/>
      <c r="H45" s="27"/>
      <c r="I45" s="27"/>
      <c r="J45" s="27"/>
      <c r="K45" s="27"/>
      <c r="L45" s="27"/>
      <c r="M45" s="59"/>
    </row>
    <row r="46" spans="3:13" ht="15" thickBot="1">
      <c r="C46" s="64"/>
      <c r="D46" s="28"/>
      <c r="E46" s="28"/>
      <c r="F46" s="28"/>
      <c r="G46" s="28"/>
      <c r="H46" s="28"/>
      <c r="I46" s="28"/>
      <c r="J46" s="28"/>
      <c r="K46" s="28"/>
      <c r="L46" s="28"/>
      <c r="M46" s="65"/>
    </row>
  </sheetData>
  <sheetProtection password="C836" sheet="1" objects="1" scenarios="1"/>
  <mergeCells count="11">
    <mergeCell ref="E23:K23"/>
    <mergeCell ref="E24:K27"/>
    <mergeCell ref="E40:K40"/>
    <mergeCell ref="E41:K43"/>
    <mergeCell ref="C3:M3"/>
    <mergeCell ref="E6:K6"/>
    <mergeCell ref="E7:K10"/>
    <mergeCell ref="E14:K14"/>
    <mergeCell ref="E15:K19"/>
    <mergeCell ref="E31:K31"/>
    <mergeCell ref="E32:K36"/>
  </mergeCell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Setup</vt:lpstr>
      <vt:lpstr>Schedule</vt:lpstr>
      <vt:lpstr>Weekly</vt:lpstr>
      <vt:lpstr>Help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Change this Name</cp:lastModifiedBy>
  <dcterms:created xsi:type="dcterms:W3CDTF">2013-08-26T12:39:52Z</dcterms:created>
  <dcterms:modified xsi:type="dcterms:W3CDTF">2013-08-29T01:25:25Z</dcterms:modified>
</cp:coreProperties>
</file>