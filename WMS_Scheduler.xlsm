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25725"/>
</workbook>
</file>

<file path=xl/calcChain.xml><?xml version="1.0" encoding="utf-8"?>
<calcChain xmlns="http://schemas.openxmlformats.org/spreadsheetml/2006/main">
  <c r="T2" i="5"/>
  <c r="D27" i="3"/>
  <c r="I9" s="1"/>
  <c r="H9" s="1"/>
  <c r="Q7" i="5"/>
  <c r="D7" s="1"/>
  <c r="R10" s="1"/>
  <c r="D8" s="1"/>
  <c r="D29" i="3"/>
  <c r="J9" s="1"/>
  <c r="J22" i="2"/>
  <c r="J23" s="1"/>
  <c r="J24" s="1"/>
  <c r="J25" s="1"/>
  <c r="J26" s="1"/>
  <c r="J27" s="1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L91"/>
  <c r="M91"/>
  <c r="N91"/>
  <c r="O91"/>
  <c r="P91"/>
  <c r="Q91"/>
  <c r="K89"/>
  <c r="K90"/>
  <c r="K91"/>
  <c r="K88"/>
  <c r="J11"/>
  <c r="J12" s="1"/>
  <c r="J13" s="1"/>
  <c r="J14" s="1"/>
  <c r="J15" s="1"/>
  <c r="J16" s="1"/>
  <c r="E7" i="5" l="1"/>
  <c r="R21"/>
  <c r="R22"/>
  <c r="R23"/>
  <c r="R20"/>
  <c r="K27" i="3"/>
  <c r="R11" i="5"/>
  <c r="R13" s="1"/>
  <c r="S11"/>
  <c r="S13" s="1"/>
  <c r="K9" i="3"/>
  <c r="R29" i="5" l="1"/>
  <c r="R19" s="1"/>
  <c r="W19" s="1"/>
  <c r="AB19" s="1"/>
  <c r="W23" s="1"/>
  <c r="D27" s="1"/>
  <c r="R27"/>
  <c r="R17" s="1"/>
  <c r="W17" s="1"/>
  <c r="AB17" s="1"/>
  <c r="W21" s="1"/>
  <c r="D15" s="1"/>
  <c r="R28"/>
  <c r="R18" s="1"/>
  <c r="W18" s="1"/>
  <c r="AB18" s="1"/>
  <c r="W22" s="1"/>
  <c r="D20" s="1"/>
  <c r="R26"/>
  <c r="R16" s="1"/>
  <c r="W16" s="1"/>
  <c r="AB16" s="1"/>
  <c r="W20" s="1"/>
  <c r="D12" s="1"/>
  <c r="S28"/>
  <c r="S18" s="1"/>
  <c r="X18" s="1"/>
  <c r="AC18" s="1"/>
  <c r="S26"/>
  <c r="S16" s="1"/>
  <c r="X16" s="1"/>
  <c r="AC16" s="1"/>
  <c r="S27"/>
  <c r="S17" s="1"/>
  <c r="X17" s="1"/>
  <c r="AC17" s="1"/>
  <c r="S29"/>
  <c r="S19" s="1"/>
  <c r="X19" s="1"/>
  <c r="AC19" s="1"/>
  <c r="E9"/>
  <c r="D9"/>
  <c r="F7"/>
  <c r="S10"/>
  <c r="I31" i="3"/>
  <c r="J31" s="1"/>
  <c r="J40" s="1"/>
  <c r="I26"/>
  <c r="I28"/>
  <c r="J28" s="1"/>
  <c r="I33"/>
  <c r="J33" s="1"/>
  <c r="I32"/>
  <c r="J32" s="1"/>
  <c r="J41" s="1"/>
  <c r="I29"/>
  <c r="J29" s="1"/>
  <c r="J38" s="1"/>
  <c r="I30"/>
  <c r="J30" s="1"/>
  <c r="I27"/>
  <c r="J27" s="1"/>
  <c r="J36" s="1"/>
  <c r="K32"/>
  <c r="K26"/>
  <c r="K31"/>
  <c r="K28"/>
  <c r="K29"/>
  <c r="K33"/>
  <c r="K30"/>
  <c r="D12" i="2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J26" i="3" l="1"/>
  <c r="J35" s="1"/>
  <c r="T11" i="5"/>
  <c r="T13" s="1"/>
  <c r="S20"/>
  <c r="X20" s="1"/>
  <c r="E12" s="1"/>
  <c r="S21"/>
  <c r="X21" s="1"/>
  <c r="E15" s="1"/>
  <c r="S22"/>
  <c r="X22" s="1"/>
  <c r="E20" s="1"/>
  <c r="S23"/>
  <c r="X23" s="1"/>
  <c r="E27" s="1"/>
  <c r="E8"/>
  <c r="G7"/>
  <c r="T10"/>
  <c r="I16" i="3"/>
  <c r="J16" s="1"/>
  <c r="K16"/>
  <c r="I17"/>
  <c r="J17" s="1"/>
  <c r="K17"/>
  <c r="I14"/>
  <c r="J14" s="1"/>
  <c r="K14"/>
  <c r="J39"/>
  <c r="J37"/>
  <c r="K12"/>
  <c r="J42"/>
  <c r="K11" l="1"/>
  <c r="I11"/>
  <c r="J11" s="1"/>
  <c r="U11" i="5"/>
  <c r="U13" s="1"/>
  <c r="T27"/>
  <c r="T17" s="1"/>
  <c r="Y17" s="1"/>
  <c r="AD17" s="1"/>
  <c r="T29"/>
  <c r="T19" s="1"/>
  <c r="Y19" s="1"/>
  <c r="AD19" s="1"/>
  <c r="T26"/>
  <c r="T16" s="1"/>
  <c r="Y16" s="1"/>
  <c r="AD16" s="1"/>
  <c r="T28"/>
  <c r="T18" s="1"/>
  <c r="Y18" s="1"/>
  <c r="AD18" s="1"/>
  <c r="F9"/>
  <c r="T20"/>
  <c r="T21"/>
  <c r="T22"/>
  <c r="T23"/>
  <c r="F8"/>
  <c r="H7"/>
  <c r="U2" s="1"/>
  <c r="U10"/>
  <c r="I18" i="3"/>
  <c r="J18" s="1"/>
  <c r="K18"/>
  <c r="I15"/>
  <c r="J15" s="1"/>
  <c r="K15"/>
  <c r="I13"/>
  <c r="J13" s="1"/>
  <c r="K13"/>
  <c r="I12"/>
  <c r="J12" s="1"/>
  <c r="Y21" i="5" l="1"/>
  <c r="F18" s="1"/>
  <c r="Y22"/>
  <c r="F21" s="1"/>
  <c r="Y23"/>
  <c r="F27" s="1"/>
  <c r="B2"/>
  <c r="U26"/>
  <c r="U16" s="1"/>
  <c r="Z16" s="1"/>
  <c r="AE16" s="1"/>
  <c r="U28"/>
  <c r="U18" s="1"/>
  <c r="Z18" s="1"/>
  <c r="AE18" s="1"/>
  <c r="U29"/>
  <c r="U19" s="1"/>
  <c r="Z19" s="1"/>
  <c r="AE19" s="1"/>
  <c r="U27"/>
  <c r="U17" s="1"/>
  <c r="Z17" s="1"/>
  <c r="AE17" s="1"/>
  <c r="G9"/>
  <c r="Y20"/>
  <c r="F13" s="1"/>
  <c r="U20"/>
  <c r="U21"/>
  <c r="U22"/>
  <c r="U23"/>
  <c r="G8"/>
  <c r="V10"/>
  <c r="V11"/>
  <c r="V13" s="1"/>
  <c r="Z21" l="1"/>
  <c r="G18" s="1"/>
  <c r="Z23"/>
  <c r="G27" s="1"/>
  <c r="Z22"/>
  <c r="G21" s="1"/>
  <c r="V29"/>
  <c r="V19" s="1"/>
  <c r="AA19" s="1"/>
  <c r="AF19" s="1"/>
  <c r="V27"/>
  <c r="V17" s="1"/>
  <c r="AA17" s="1"/>
  <c r="AF17" s="1"/>
  <c r="V28"/>
  <c r="V18" s="1"/>
  <c r="AA18" s="1"/>
  <c r="AF18" s="1"/>
  <c r="V26"/>
  <c r="V16" s="1"/>
  <c r="AA16" s="1"/>
  <c r="AF16" s="1"/>
  <c r="Z20"/>
  <c r="G12" s="1"/>
  <c r="V20"/>
  <c r="V21"/>
  <c r="V22"/>
  <c r="V23"/>
  <c r="H8"/>
  <c r="H9"/>
  <c r="AA22" l="1"/>
  <c r="H20" s="1"/>
  <c r="AA21"/>
  <c r="H15" s="1"/>
  <c r="AA23"/>
  <c r="H25" s="1"/>
  <c r="AA20"/>
  <c r="H12" s="1"/>
</calcChain>
</file>

<file path=xl/sharedStrings.xml><?xml version="1.0" encoding="utf-8"?>
<sst xmlns="http://schemas.openxmlformats.org/spreadsheetml/2006/main" count="189" uniqueCount="125">
  <si>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</si>
  <si>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</si>
  <si>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</si>
  <si>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</si>
  <si>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</si>
  <si>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</si>
  <si>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</si>
  <si>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</si>
  <si>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</si>
  <si>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</si>
  <si>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</si>
  <si>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</si>
  <si>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</si>
  <si>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</si>
  <si>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</si>
  <si>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</si>
  <si>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</si>
  <si>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</si>
  <si>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</si>
  <si>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</si>
  <si>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</si>
  <si>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</si>
  <si>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</si>
  <si>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</si>
  <si>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</si>
  <si>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</si>
  <si>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</si>
  <si>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</si>
  <si>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</si>
  <si>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</si>
  <si>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</si>
  <si>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</si>
  <si>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</si>
  <si>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</si>
  <si>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</si>
  <si>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</si>
  <si>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</si>
  <si>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</si>
  <si>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</si>
  <si>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</si>
  <si>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</si>
  <si>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</si>
  <si>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</si>
  <si>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</si>
  <si>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</si>
  <si>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</si>
  <si>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</si>
  <si>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</si>
  <si>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</si>
  <si>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</si>
  <si>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</si>
  <si>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</si>
  <si>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</si>
  <si>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</si>
  <si>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</si>
  <si>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</si>
  <si>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</si>
  <si>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</si>
  <si>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</si>
  <si>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</si>
  <si>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</si>
  <si>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</si>
  <si>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</si>
  <si>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</si>
  <si>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</si>
  <si>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</si>
  <si>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</si>
  <si>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</si>
  <si>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</si>
  <si>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</si>
  <si>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</si>
  <si>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</si>
  <si>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</si>
  <si>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</si>
  <si>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</si>
  <si>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Fig. 2: Free Matrix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</si>
  <si>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</si>
  <si>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</si>
  <si>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</si>
  <si>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</si>
  <si>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</si>
  <si>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</si>
  <si>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</si>
  <si>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</si>
  <si>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2: Lab Frees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</si>
  <si>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</si>
  <si>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</si>
  <si>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</si>
  <si>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</si>
  <si>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</si>
  <si>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 xml:space="preserve"> Put any non-scheduled days below. The dates of breaks and exams from the school calendar are implemented internally.</t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</si>
  <si>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</si>
  <si>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</si>
  <si>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</si>
  <si>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</si>
  <si>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</si>
  <si>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</si>
  <si>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</si>
  <si>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</si>
  <si>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</si>
  <si>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</si>
  <si>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</si>
  <si>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</si>
  <si>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</si>
  <si>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</si>
  <si>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</si>
  <si>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</si>
  <si>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</si>
  <si>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</si>
  <si>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</si>
  <si>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</si>
  <si>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</si>
  <si>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</si>
  <si>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</si>
  <si>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</si>
  <si>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</si>
  <si>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</si>
  <si>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</si>
  <si>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</si>
  <si>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</si>
  <si>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</si>
  <si>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</si>
  <si>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</si>
  <si>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What is this, and how should you use this feature?</t>
  </si>
  <si>
    <r>
      <t xml:space="preserve">Below is the </t>
    </r>
    <r>
      <rPr>
        <b/>
        <sz val="11"/>
        <color theme="1"/>
        <rFont val="Calibri"/>
        <family val="2"/>
        <scheme val="minor"/>
      </rPr>
      <t>Schedule for the Week</t>
    </r>
    <r>
      <rPr>
        <sz val="11"/>
        <color theme="1"/>
        <rFont val="Calibri"/>
        <family val="2"/>
        <scheme val="minor"/>
      </rPr>
      <t xml:space="preserve"> of the "Date to Schedule."
So</t>
    </r>
    <r>
      <rPr>
        <b/>
        <sz val="11"/>
        <color theme="1"/>
        <rFont val="Calibri"/>
        <family val="2"/>
        <scheme val="minor"/>
      </rPr>
      <t xml:space="preserve"> if you want</t>
    </r>
    <r>
      <rPr>
        <sz val="11"/>
        <color theme="1"/>
        <rFont val="Calibri"/>
        <family val="2"/>
        <scheme val="minor"/>
      </rPr>
      <t xml:space="preserve"> to look a week ahead or behind, then you should</t>
    </r>
    <r>
      <rPr>
        <b/>
        <sz val="11"/>
        <color theme="1"/>
        <rFont val="Calibri"/>
        <family val="2"/>
        <scheme val="minor"/>
      </rPr>
      <t xml:space="preserve"> increase or decrease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the "Date to Schedule" on the previous page</t>
    </r>
    <r>
      <rPr>
        <sz val="11"/>
        <color theme="1"/>
        <rFont val="Calibri"/>
        <family val="2"/>
        <scheme val="minor"/>
      </rPr>
      <t xml:space="preserve"> by 7.
</t>
    </r>
    <r>
      <rPr>
        <b/>
        <sz val="11"/>
        <color theme="1"/>
        <rFont val="Calibri"/>
        <family val="2"/>
        <scheme val="minor"/>
      </rPr>
      <t>Or if you want this week's</t>
    </r>
    <r>
      <rPr>
        <sz val="11"/>
        <color theme="1"/>
        <rFont val="Calibri"/>
        <family val="2"/>
        <scheme val="minor"/>
      </rPr>
      <t xml:space="preserve"> schedule, simply </t>
    </r>
    <r>
      <rPr>
        <b/>
        <sz val="11"/>
        <color theme="1"/>
        <rFont val="Calibri"/>
        <family val="2"/>
        <scheme val="minor"/>
      </rPr>
      <t>set the "Date to Schedule" to today's date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</si>
</sst>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>
  <numFmts count="1">
    <numFmt numFmtId="164" formatCode="h:mm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</borders>
  <cellStyleXfs count="1">
    <xf numFmtId="0" fontId="0" fillId="0" borderId="0"/>
  </cellStyleXfs>
  <cellXfs count="329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1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2" fillId="7" borderId="0" xfId="0" applyFont="1" applyFill="1" applyBorder="1" applyProtection="1"/>
    <xf numFmtId="0" fontId="3" fillId="7" borderId="0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>
      <alignment horizontal="center"/>
    </xf>
    <xf numFmtId="164" fontId="2" fillId="7" borderId="0" xfId="0" applyNumberFormat="1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7" borderId="0" xfId="0" applyFont="1" applyFill="1" applyBorder="1" applyAlignment="1" applyProtection="1"/>
    <xf numFmtId="0" fontId="1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3" fillId="6" borderId="25" xfId="0" applyFont="1" applyFill="1" applyBorder="1" applyAlignment="1" applyProtection="1">
      <alignment horizontal="center"/>
    </xf>
    <xf numFmtId="0" fontId="3" fillId="6" borderId="25" xfId="0" applyFont="1" applyFill="1" applyBorder="1" applyAlignment="1" applyProtection="1"/>
    <xf numFmtId="0" fontId="2" fillId="6" borderId="25" xfId="0" applyFont="1" applyFill="1" applyBorder="1" applyAlignment="1" applyProtection="1">
      <alignment horizontal="left"/>
    </xf>
    <xf numFmtId="0" fontId="2" fillId="6" borderId="25" xfId="0" applyFont="1" applyFill="1" applyBorder="1" applyAlignment="1" applyProtection="1"/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2" fillId="6" borderId="27" xfId="0" applyFont="1" applyFill="1" applyBorder="1" applyAlignment="1" applyProtection="1">
      <alignment horizontal="center"/>
    </xf>
    <xf numFmtId="0" fontId="2" fillId="6" borderId="27" xfId="0" applyFont="1" applyFill="1" applyBorder="1" applyAlignment="1" applyProtection="1"/>
    <xf numFmtId="0" fontId="2" fillId="6" borderId="28" xfId="0" applyFont="1" applyFill="1" applyBorder="1" applyAlignment="1" applyProtection="1"/>
    <xf numFmtId="0" fontId="2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2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2" fillId="7" borderId="0" xfId="0" applyFont="1" applyFill="1" applyProtection="1"/>
    <xf numFmtId="0" fontId="2" fillId="6" borderId="25" xfId="0" applyFont="1" applyFill="1" applyBorder="1" applyProtection="1"/>
    <xf numFmtId="2" fontId="0" fillId="0" borderId="0" xfId="0" applyNumberFormat="1" applyProtection="1"/>
    <xf numFmtId="0" fontId="2" fillId="6" borderId="0" xfId="0" applyFont="1" applyFill="1" applyBorder="1" applyProtection="1"/>
    <xf numFmtId="0" fontId="2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7" fillId="6" borderId="0" xfId="0" applyFont="1" applyFill="1" applyBorder="1" applyAlignment="1" applyProtection="1">
      <alignment vertical="top" wrapText="1"/>
    </xf>
    <xf numFmtId="0" fontId="11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1" fillId="8" borderId="27" xfId="0" applyFont="1" applyFill="1" applyBorder="1" applyAlignment="1" applyProtection="1">
      <alignment vertical="center" wrapText="1"/>
    </xf>
    <xf numFmtId="0" fontId="7" fillId="8" borderId="25" xfId="0" applyFont="1" applyFill="1" applyBorder="1" applyAlignment="1" applyProtection="1">
      <alignment vertical="center" wrapText="1"/>
    </xf>
    <xf numFmtId="0" fontId="7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7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1" fillId="11" borderId="11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1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1" fillId="11" borderId="3" xfId="0" applyFont="1" applyFill="1" applyBorder="1" applyAlignment="1" applyProtection="1">
      <alignment horizontal="center"/>
    </xf>
    <xf numFmtId="0" fontId="1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1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4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4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4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1" fillId="16" borderId="3" xfId="0" applyFont="1" applyFill="1" applyBorder="1" applyAlignment="1" applyProtection="1">
      <alignment horizontal="center"/>
    </xf>
    <xf numFmtId="0" fontId="1" fillId="16" borderId="20" xfId="0" applyFont="1" applyFill="1" applyBorder="1" applyAlignment="1" applyProtection="1">
      <alignment horizontal="center"/>
    </xf>
    <xf numFmtId="0" fontId="1" fillId="16" borderId="20" xfId="0" applyFont="1" applyFill="1" applyBorder="1" applyProtection="1"/>
    <xf numFmtId="0" fontId="1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3" fillId="11" borderId="36" xfId="0" applyNumberFormat="1" applyFont="1" applyFill="1" applyBorder="1" applyAlignment="1" applyProtection="1"/>
    <xf numFmtId="0" fontId="1" fillId="11" borderId="18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/>
    <xf numFmtId="0" fontId="1" fillId="2" borderId="2" xfId="0" applyFont="1" applyFill="1" applyBorder="1" applyAlignment="1" applyProtection="1"/>
    <xf numFmtId="0" fontId="1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1" fillId="17" borderId="3" xfId="0" applyFont="1" applyFill="1" applyBorder="1" applyAlignment="1" applyProtection="1">
      <alignment horizontal="center"/>
    </xf>
    <xf numFmtId="0" fontId="1" fillId="17" borderId="20" xfId="0" applyFont="1" applyFill="1" applyBorder="1" applyAlignment="1" applyProtection="1">
      <alignment horizontal="center"/>
    </xf>
    <xf numFmtId="0" fontId="1" fillId="17" borderId="4" xfId="0" applyFont="1" applyFill="1" applyBorder="1" applyAlignment="1" applyProtection="1">
      <alignment horizontal="center"/>
    </xf>
    <xf numFmtId="0" fontId="1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1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15" borderId="3" xfId="0" applyFont="1" applyFill="1" applyBorder="1" applyAlignment="1" applyProtection="1">
      <alignment horizontal="center"/>
    </xf>
    <xf numFmtId="0" fontId="1" fillId="15" borderId="20" xfId="0" applyFont="1" applyFill="1" applyBorder="1" applyAlignment="1" applyProtection="1">
      <alignment horizontal="center"/>
    </xf>
    <xf numFmtId="0" fontId="1" fillId="15" borderId="4" xfId="0" applyFont="1" applyFill="1" applyBorder="1" applyAlignment="1" applyProtection="1">
      <alignment horizontal="center"/>
    </xf>
    <xf numFmtId="0" fontId="1" fillId="15" borderId="5" xfId="0" applyFont="1" applyFill="1" applyBorder="1" applyAlignment="1" applyProtection="1">
      <alignment horizontal="center"/>
    </xf>
    <xf numFmtId="0" fontId="1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2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2" fillId="16" borderId="14" xfId="0" applyNumberFormat="1" applyFont="1" applyFill="1" applyBorder="1" applyAlignment="1" applyProtection="1">
      <alignment horizontal="center"/>
    </xf>
    <xf numFmtId="1" fontId="4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5" fillId="6" borderId="21" xfId="0" applyFont="1" applyFill="1" applyBorder="1" applyAlignment="1" applyProtection="1">
      <alignment horizontal="center" vertical="center"/>
    </xf>
    <xf numFmtId="0" fontId="5" fillId="6" borderId="22" xfId="0" applyFont="1" applyFill="1" applyBorder="1" applyAlignment="1" applyProtection="1">
      <alignment horizontal="center" vertical="center"/>
    </xf>
    <xf numFmtId="0" fontId="5" fillId="6" borderId="23" xfId="0" applyFont="1" applyFill="1" applyBorder="1" applyAlignment="1" applyProtection="1">
      <alignment horizontal="center" vertical="center"/>
    </xf>
    <xf numFmtId="0" fontId="5" fillId="7" borderId="21" xfId="0" applyFont="1" applyFill="1" applyBorder="1" applyAlignment="1" applyProtection="1">
      <alignment horizontal="center" vertical="center"/>
    </xf>
    <xf numFmtId="0" fontId="5" fillId="7" borderId="22" xfId="0" applyFont="1" applyFill="1" applyBorder="1" applyAlignment="1" applyProtection="1">
      <alignment horizontal="center" vertical="center"/>
    </xf>
    <xf numFmtId="0" fontId="5" fillId="7" borderId="23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center" vertical="center"/>
    </xf>
    <xf numFmtId="0" fontId="5" fillId="6" borderId="25" xfId="0" applyFont="1" applyFill="1" applyBorder="1" applyAlignment="1" applyProtection="1">
      <alignment horizontal="center" vertical="center"/>
    </xf>
    <xf numFmtId="0" fontId="1" fillId="6" borderId="25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5" fillId="7" borderId="24" xfId="0" applyFont="1" applyFill="1" applyBorder="1" applyAlignment="1" applyProtection="1">
      <alignment horizontal="center" vertical="center"/>
    </xf>
    <xf numFmtId="0" fontId="5" fillId="7" borderId="25" xfId="0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6" fillId="6" borderId="21" xfId="0" applyNumberFormat="1" applyFont="1" applyFill="1" applyBorder="1" applyAlignment="1" applyProtection="1">
      <alignment horizontal="center" vertical="center"/>
    </xf>
    <xf numFmtId="14" fontId="6" fillId="6" borderId="22" xfId="0" applyNumberFormat="1" applyFont="1" applyFill="1" applyBorder="1" applyAlignment="1" applyProtection="1">
      <alignment horizontal="center" vertical="center"/>
    </xf>
    <xf numFmtId="14" fontId="6" fillId="6" borderId="23" xfId="0" applyNumberFormat="1" applyFont="1" applyFill="1" applyBorder="1" applyAlignment="1" applyProtection="1">
      <alignment horizontal="center" vertical="center"/>
    </xf>
    <xf numFmtId="14" fontId="6" fillId="6" borderId="24" xfId="0" applyNumberFormat="1" applyFont="1" applyFill="1" applyBorder="1" applyAlignment="1" applyProtection="1">
      <alignment horizontal="center" vertical="center"/>
    </xf>
    <xf numFmtId="14" fontId="6" fillId="6" borderId="25" xfId="0" applyNumberFormat="1" applyFont="1" applyFill="1" applyBorder="1" applyAlignment="1" applyProtection="1">
      <alignment horizontal="center" vertical="center"/>
    </xf>
    <xf numFmtId="49" fontId="14" fillId="10" borderId="48" xfId="0" applyNumberFormat="1" applyFont="1" applyFill="1" applyBorder="1" applyAlignment="1" applyProtection="1">
      <alignment horizontal="left" vertical="top" wrapText="1"/>
    </xf>
    <xf numFmtId="14" fontId="14" fillId="10" borderId="49" xfId="0" applyNumberFormat="1" applyFont="1" applyFill="1" applyBorder="1" applyAlignment="1" applyProtection="1">
      <alignment horizontal="center" vertical="top"/>
    </xf>
    <xf numFmtId="14" fontId="14" fillId="10" borderId="56" xfId="0" applyNumberFormat="1" applyFont="1" applyFill="1" applyBorder="1" applyAlignment="1" applyProtection="1">
      <alignment horizontal="center" vertical="top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14" fillId="10" borderId="61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7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62" xfId="0" applyNumberFormat="1" applyFont="1" applyFill="1" applyBorder="1" applyAlignment="1" applyProtection="1">
      <alignment horizontal="center" vertical="top"/>
    </xf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62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62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7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3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4" xfId="0" applyNumberFormat="1" applyFont="1" applyFill="1" applyBorder="1" applyAlignment="1" applyProtection="1">
      <alignment horizontal="left" vertical="top" wrapText="1"/>
    </xf>
    <xf numFmtId="0" fontId="14" fillId="21" borderId="55" xfId="0" applyNumberFormat="1" applyFont="1" applyFill="1" applyBorder="1" applyAlignment="1" applyProtection="1">
      <alignment horizontal="center" vertical="center" wrapText="1"/>
    </xf>
    <xf numFmtId="0" fontId="14" fillId="21" borderId="59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left" vertical="center" wrapText="1" indent="1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2" borderId="1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2" fillId="8" borderId="21" xfId="0" applyFont="1" applyFill="1" applyBorder="1" applyAlignment="1" applyProtection="1">
      <alignment horizontal="left" vertical="center" wrapText="1" indent="1"/>
    </xf>
    <xf numFmtId="0" fontId="2" fillId="8" borderId="22" xfId="0" applyFont="1" applyFill="1" applyBorder="1" applyAlignment="1" applyProtection="1">
      <alignment horizontal="left" vertical="center" wrapText="1" indent="1"/>
    </xf>
    <xf numFmtId="0" fontId="2" fillId="8" borderId="23" xfId="0" applyFont="1" applyFill="1" applyBorder="1" applyAlignment="1" applyProtection="1">
      <alignment horizontal="left" vertical="center" wrapText="1" indent="1"/>
    </xf>
    <xf numFmtId="0" fontId="2" fillId="8" borderId="26" xfId="0" applyFont="1" applyFill="1" applyBorder="1" applyAlignment="1" applyProtection="1">
      <alignment horizontal="left" vertical="center" wrapText="1" indent="1"/>
    </xf>
    <xf numFmtId="0" fontId="2" fillId="8" borderId="27" xfId="0" applyFont="1" applyFill="1" applyBorder="1" applyAlignment="1" applyProtection="1">
      <alignment horizontal="left" vertical="center" wrapText="1" indent="1"/>
    </xf>
    <xf numFmtId="0" fontId="2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14" fontId="6" fillId="2" borderId="21" xfId="0" applyNumberFormat="1" applyFont="1" applyFill="1" applyBorder="1" applyAlignment="1" applyProtection="1">
      <alignment horizontal="center" vertical="center"/>
    </xf>
    <xf numFmtId="14" fontId="6" fillId="2" borderId="22" xfId="0" applyNumberFormat="1" applyFont="1" applyFill="1" applyBorder="1" applyAlignment="1" applyProtection="1">
      <alignment horizontal="center" vertical="center"/>
    </xf>
    <xf numFmtId="14" fontId="6" fillId="2" borderId="23" xfId="0" applyNumberFormat="1" applyFont="1" applyFill="1" applyBorder="1" applyAlignment="1" applyProtection="1">
      <alignment horizontal="center" vertical="center"/>
    </xf>
    <xf numFmtId="14" fontId="0" fillId="8" borderId="1" xfId="0" applyNumberFormat="1" applyFill="1" applyBorder="1" applyAlignment="1" applyProtection="1">
      <alignment horizontal="left" vertical="center" wrapText="1" indent="3"/>
    </xf>
    <xf numFmtId="14" fontId="6" fillId="8" borderId="10" xfId="0" applyNumberFormat="1" applyFont="1" applyFill="1" applyBorder="1" applyAlignment="1" applyProtection="1">
      <alignment horizontal="left" vertical="center" indent="3"/>
    </xf>
    <xf numFmtId="14" fontId="6" fillId="8" borderId="2" xfId="0" applyNumberFormat="1" applyFont="1" applyFill="1" applyBorder="1" applyAlignment="1" applyProtection="1">
      <alignment horizontal="left" vertical="center" indent="3"/>
    </xf>
    <xf numFmtId="14" fontId="1" fillId="2" borderId="1" xfId="0" applyNumberFormat="1" applyFont="1" applyFill="1" applyBorder="1" applyAlignment="1" applyProtection="1">
      <alignment horizontal="center" vertical="center"/>
    </xf>
    <xf numFmtId="14" fontId="6" fillId="2" borderId="10" xfId="0" applyNumberFormat="1" applyFont="1" applyFill="1" applyBorder="1" applyAlignment="1" applyProtection="1">
      <alignment horizontal="center" vertical="center"/>
    </xf>
    <xf numFmtId="14" fontId="6" fillId="2" borderId="2" xfId="0" applyNumberFormat="1" applyFont="1" applyFill="1" applyBorder="1" applyAlignment="1" applyProtection="1">
      <alignment horizontal="center" vertical="center"/>
    </xf>
    <xf numFmtId="0" fontId="14" fillId="19" borderId="63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4" xfId="0" applyNumberFormat="1" applyFont="1" applyFill="1" applyBorder="1" applyAlignment="1" applyProtection="1">
      <alignment horizontal="center" vertical="center" wrapText="1"/>
    </xf>
    <xf numFmtId="0" fontId="14" fillId="19" borderId="66" xfId="0" applyNumberFormat="1" applyFont="1" applyFill="1" applyBorder="1" applyAlignment="1" applyProtection="1">
      <alignment horizontal="center" vertical="center" wrapText="1"/>
    </xf>
    <xf numFmtId="0" fontId="0" fillId="0" borderId="67" xfId="0" applyBorder="1"/>
    <xf numFmtId="0" fontId="0" fillId="0" borderId="68" xfId="0" applyBorder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8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65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8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1" fillId="8" borderId="0" xfId="0" applyFont="1" applyFill="1" applyBorder="1" applyAlignment="1" applyProtection="1">
      <alignment horizontal="left"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1"/><Relationship Id="rId1" Type="http://schemas.openxmlformats.org/officeDocument/2006/relationships/hyperlink" Target="#Schedule!D1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3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Weekly!C7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zoomScaleNormal="100" workbookViewId="0">
      <selection activeCell="G17" sqref="G17:I20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3" t="s">
        <v>61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46" t="s">
        <v>77</v>
      </c>
      <c r="F6" s="246"/>
      <c r="G6" s="246"/>
      <c r="H6" s="246"/>
      <c r="I6" s="246"/>
      <c r="J6" s="246"/>
      <c r="K6" s="246"/>
      <c r="L6" s="83"/>
      <c r="M6" s="59"/>
    </row>
    <row r="7" spans="3:13" ht="15" customHeight="1">
      <c r="C7" s="58"/>
      <c r="D7" s="82"/>
      <c r="E7" s="246"/>
      <c r="F7" s="246"/>
      <c r="G7" s="246"/>
      <c r="H7" s="246"/>
      <c r="I7" s="246"/>
      <c r="J7" s="246"/>
      <c r="K7" s="246"/>
      <c r="L7" s="83"/>
      <c r="M7" s="59"/>
    </row>
    <row r="8" spans="3:13" ht="15" customHeight="1">
      <c r="C8" s="58"/>
      <c r="D8" s="82"/>
      <c r="E8" s="246"/>
      <c r="F8" s="246"/>
      <c r="G8" s="246"/>
      <c r="H8" s="246"/>
      <c r="I8" s="246"/>
      <c r="J8" s="246"/>
      <c r="K8" s="246"/>
      <c r="L8" s="83"/>
      <c r="M8" s="59"/>
    </row>
    <row r="9" spans="3:13" ht="15" customHeight="1">
      <c r="C9" s="58"/>
      <c r="D9" s="82"/>
      <c r="E9" s="246"/>
      <c r="F9" s="246"/>
      <c r="G9" s="246"/>
      <c r="H9" s="246"/>
      <c r="I9" s="246"/>
      <c r="J9" s="246"/>
      <c r="K9" s="246"/>
      <c r="L9" s="83"/>
      <c r="M9" s="59"/>
    </row>
    <row r="10" spans="3:13" ht="15" customHeight="1">
      <c r="C10" s="58"/>
      <c r="D10" s="82"/>
      <c r="E10" s="246"/>
      <c r="F10" s="246"/>
      <c r="G10" s="246"/>
      <c r="H10" s="246"/>
      <c r="I10" s="246"/>
      <c r="J10" s="246"/>
      <c r="K10" s="246"/>
      <c r="L10" s="83"/>
      <c r="M10" s="59"/>
    </row>
    <row r="11" spans="3:13" ht="15" customHeight="1">
      <c r="C11" s="58"/>
      <c r="D11" s="82"/>
      <c r="E11" s="246"/>
      <c r="F11" s="246"/>
      <c r="G11" s="246"/>
      <c r="H11" s="246"/>
      <c r="I11" s="246"/>
      <c r="J11" s="246"/>
      <c r="K11" s="246"/>
      <c r="L11" s="83"/>
      <c r="M11" s="59"/>
    </row>
    <row r="12" spans="3:13" ht="15" customHeight="1">
      <c r="C12" s="58"/>
      <c r="D12" s="82"/>
      <c r="E12" s="246"/>
      <c r="F12" s="246"/>
      <c r="G12" s="246"/>
      <c r="H12" s="246"/>
      <c r="I12" s="246"/>
      <c r="J12" s="246"/>
      <c r="K12" s="246"/>
      <c r="L12" s="83"/>
      <c r="M12" s="59"/>
    </row>
    <row r="13" spans="3:13" ht="15" customHeight="1">
      <c r="C13" s="58"/>
      <c r="D13" s="82"/>
      <c r="E13" s="246"/>
      <c r="F13" s="246"/>
      <c r="G13" s="246"/>
      <c r="H13" s="246"/>
      <c r="I13" s="246"/>
      <c r="J13" s="246"/>
      <c r="K13" s="246"/>
      <c r="L13" s="83"/>
      <c r="M13" s="59"/>
    </row>
    <row r="14" spans="3:13">
      <c r="C14" s="58"/>
      <c r="D14" s="82"/>
      <c r="E14" s="246"/>
      <c r="F14" s="246"/>
      <c r="G14" s="246"/>
      <c r="H14" s="246"/>
      <c r="I14" s="246"/>
      <c r="J14" s="246"/>
      <c r="K14" s="246"/>
      <c r="L14" s="83"/>
      <c r="M14" s="59"/>
    </row>
    <row r="15" spans="3:13" ht="15.7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47"/>
      <c r="E17" s="247"/>
      <c r="F17" s="247"/>
      <c r="G17" s="247"/>
      <c r="H17" s="247"/>
      <c r="I17" s="247"/>
      <c r="J17" s="247"/>
      <c r="K17" s="247"/>
      <c r="L17" s="247"/>
      <c r="M17" s="59"/>
    </row>
    <row r="18" spans="3:13">
      <c r="C18" s="58"/>
      <c r="D18" s="247"/>
      <c r="E18" s="247"/>
      <c r="F18" s="247"/>
      <c r="G18" s="247"/>
      <c r="H18" s="247"/>
      <c r="I18" s="247"/>
      <c r="J18" s="247"/>
      <c r="K18" s="247"/>
      <c r="L18" s="247"/>
      <c r="M18" s="59"/>
    </row>
    <row r="19" spans="3:13">
      <c r="C19" s="58"/>
      <c r="D19" s="247"/>
      <c r="E19" s="247"/>
      <c r="F19" s="247"/>
      <c r="G19" s="247"/>
      <c r="H19" s="247"/>
      <c r="I19" s="247"/>
      <c r="J19" s="247"/>
      <c r="K19" s="247"/>
      <c r="L19" s="247"/>
      <c r="M19" s="59"/>
    </row>
    <row r="20" spans="3:13">
      <c r="C20" s="58"/>
      <c r="D20" s="247"/>
      <c r="E20" s="247"/>
      <c r="F20" s="247"/>
      <c r="G20" s="247"/>
      <c r="H20" s="247"/>
      <c r="I20" s="247"/>
      <c r="J20" s="247"/>
      <c r="K20" s="247"/>
      <c r="L20" s="247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.7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97"/>
  <sheetViews>
    <sheetView showGridLines="0" zoomScaleNormal="100" workbookViewId="0">
      <selection activeCell="E11" sqref="E11"/>
    </sheetView>
  </sheetViews>
  <sheetFormatPr defaultRowHeight="15"/>
  <cols>
    <col min="1" max="1" width="7.7109375" style="54" customWidth="1"/>
    <col min="2" max="2" width="4.7109375" style="70" customWidth="1"/>
    <col min="3" max="3" width="10.7109375" style="70" customWidth="1"/>
    <col min="4" max="4" width="9.140625" style="70"/>
    <col min="5" max="5" width="14.140625" style="70" customWidth="1"/>
    <col min="6" max="6" width="10.7109375" style="70" customWidth="1"/>
    <col min="7" max="7" width="4.7109375" style="70" customWidth="1"/>
    <col min="8" max="9" width="4.7109375" style="63" customWidth="1"/>
    <col min="10" max="10" width="9.140625" style="63"/>
    <col min="11" max="17" width="5.7109375" style="63" customWidth="1"/>
    <col min="18" max="18" width="4.7109375" style="71" customWidth="1"/>
    <col min="19" max="19" width="4.7109375" style="63" customWidth="1"/>
    <col min="20" max="20" width="4.7109375" style="70" customWidth="1"/>
    <col min="21" max="21" width="12.7109375" style="70" customWidth="1"/>
    <col min="22" max="22" width="15.85546875" style="70" customWidth="1"/>
    <col min="23" max="23" width="12.7109375" style="70" customWidth="1"/>
    <col min="24" max="24" width="4.7109375" style="70" customWidth="1"/>
    <col min="25" max="66" width="9.140625" style="54"/>
    <col min="67" max="16384" width="9.140625" style="55"/>
  </cols>
  <sheetData>
    <row r="1" spans="2:24" s="53" customFormat="1" ht="15.75" thickBot="1"/>
    <row r="2" spans="2:24" s="54" customFormat="1" ht="30" customHeight="1" thickBot="1">
      <c r="B2" s="257" t="s">
        <v>76</v>
      </c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9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68" t="s">
        <v>83</v>
      </c>
      <c r="D4" s="269"/>
      <c r="E4" s="269"/>
      <c r="F4" s="270"/>
      <c r="G4" s="190"/>
      <c r="H4" s="194"/>
      <c r="I4" s="268" t="s">
        <v>84</v>
      </c>
      <c r="J4" s="258"/>
      <c r="K4" s="258"/>
      <c r="L4" s="258"/>
      <c r="M4" s="258"/>
      <c r="N4" s="258"/>
      <c r="O4" s="258"/>
      <c r="P4" s="258"/>
      <c r="Q4" s="258"/>
      <c r="R4" s="259"/>
      <c r="S4" s="195"/>
      <c r="T4" s="189"/>
      <c r="U4" s="268" t="s">
        <v>85</v>
      </c>
      <c r="V4" s="269"/>
      <c r="W4" s="270"/>
      <c r="X4" s="190"/>
    </row>
    <row r="5" spans="2:24" ht="30" customHeight="1">
      <c r="B5" s="56"/>
      <c r="C5" s="251" t="s">
        <v>88</v>
      </c>
      <c r="D5" s="252"/>
      <c r="E5" s="252"/>
      <c r="F5" s="253"/>
      <c r="G5" s="22"/>
      <c r="H5" s="57"/>
      <c r="I5" s="262" t="s">
        <v>89</v>
      </c>
      <c r="J5" s="263"/>
      <c r="K5" s="263"/>
      <c r="L5" s="263"/>
      <c r="M5" s="263"/>
      <c r="N5" s="263"/>
      <c r="O5" s="263"/>
      <c r="P5" s="263"/>
      <c r="Q5" s="263"/>
      <c r="R5" s="264"/>
      <c r="S5" s="39"/>
      <c r="T5" s="56"/>
      <c r="U5" s="251" t="s">
        <v>90</v>
      </c>
      <c r="V5" s="252"/>
      <c r="W5" s="253"/>
      <c r="X5" s="22"/>
    </row>
    <row r="6" spans="2:24" ht="30" customHeight="1" thickBot="1">
      <c r="B6" s="56"/>
      <c r="C6" s="254"/>
      <c r="D6" s="255"/>
      <c r="E6" s="255"/>
      <c r="F6" s="256"/>
      <c r="G6" s="22"/>
      <c r="H6" s="57"/>
      <c r="I6" s="265"/>
      <c r="J6" s="266"/>
      <c r="K6" s="266"/>
      <c r="L6" s="266"/>
      <c r="M6" s="266"/>
      <c r="N6" s="266"/>
      <c r="O6" s="266"/>
      <c r="P6" s="266"/>
      <c r="Q6" s="266"/>
      <c r="R6" s="267"/>
      <c r="S6" s="39"/>
      <c r="T6" s="56"/>
      <c r="U6" s="254"/>
      <c r="V6" s="255"/>
      <c r="W6" s="256"/>
      <c r="X6" s="22"/>
    </row>
    <row r="7" spans="2:24" ht="15.7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.75" thickBot="1">
      <c r="B8" s="58"/>
      <c r="C8" s="27"/>
      <c r="D8" s="248" t="s">
        <v>0</v>
      </c>
      <c r="E8" s="260"/>
      <c r="F8" s="17"/>
      <c r="G8" s="191"/>
      <c r="H8" s="60"/>
      <c r="I8" s="21"/>
      <c r="J8" s="248" t="s">
        <v>75</v>
      </c>
      <c r="K8" s="261"/>
      <c r="L8" s="261"/>
      <c r="M8" s="261"/>
      <c r="N8" s="261"/>
      <c r="O8" s="261"/>
      <c r="P8" s="261"/>
      <c r="Q8" s="260"/>
      <c r="R8" s="30"/>
      <c r="S8" s="23"/>
      <c r="T8" s="58"/>
      <c r="U8" s="27"/>
      <c r="V8" s="4" t="s">
        <v>25</v>
      </c>
      <c r="W8" s="17"/>
      <c r="X8" s="59"/>
    </row>
    <row r="9" spans="2:24" ht="15.7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18</v>
      </c>
      <c r="L9" s="159" t="s">
        <v>19</v>
      </c>
      <c r="M9" s="159" t="s">
        <v>20</v>
      </c>
      <c r="N9" s="159" t="s">
        <v>21</v>
      </c>
      <c r="O9" s="159" t="s">
        <v>22</v>
      </c>
      <c r="P9" s="159" t="s">
        <v>23</v>
      </c>
      <c r="Q9" s="160" t="s">
        <v>24</v>
      </c>
      <c r="R9" s="30"/>
      <c r="S9" s="23"/>
      <c r="T9" s="58"/>
      <c r="U9" s="27"/>
      <c r="V9" s="113" t="s">
        <v>60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.75" thickBot="1">
      <c r="B16" s="58"/>
      <c r="C16" s="27"/>
      <c r="D16" s="97">
        <f t="shared" si="1"/>
        <v>6</v>
      </c>
      <c r="E16" s="98" t="s">
        <v>9</v>
      </c>
      <c r="F16" s="20"/>
      <c r="G16" s="22"/>
      <c r="H16" s="60"/>
      <c r="I16" s="21"/>
      <c r="J16" s="162">
        <f t="shared" si="0"/>
        <v>7</v>
      </c>
      <c r="K16" s="105"/>
      <c r="L16" s="156"/>
      <c r="M16" s="105"/>
      <c r="N16" s="156"/>
      <c r="O16" s="105"/>
      <c r="P16" s="156"/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.75" thickBot="1">
      <c r="B18" s="58"/>
      <c r="C18" s="27"/>
      <c r="D18" s="97">
        <f t="shared" si="1"/>
        <v>8</v>
      </c>
      <c r="E18" s="111" t="s">
        <v>79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.75" thickBot="1">
      <c r="B19" s="58"/>
      <c r="C19" s="27"/>
      <c r="D19" s="97">
        <f t="shared" si="1"/>
        <v>9</v>
      </c>
      <c r="E19" s="112" t="s">
        <v>10</v>
      </c>
      <c r="F19" s="20"/>
      <c r="G19" s="59"/>
      <c r="H19" s="60"/>
      <c r="I19" s="21"/>
      <c r="J19" s="248" t="s">
        <v>80</v>
      </c>
      <c r="K19" s="249"/>
      <c r="L19" s="249"/>
      <c r="M19" s="249"/>
      <c r="N19" s="249"/>
      <c r="O19" s="249"/>
      <c r="P19" s="249"/>
      <c r="Q19" s="250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11</v>
      </c>
      <c r="F20" s="20"/>
      <c r="G20" s="22"/>
      <c r="H20" s="60"/>
      <c r="I20" s="21"/>
      <c r="J20" s="142" t="s">
        <v>1</v>
      </c>
      <c r="K20" s="143" t="s">
        <v>18</v>
      </c>
      <c r="L20" s="143" t="s">
        <v>19</v>
      </c>
      <c r="M20" s="143" t="s">
        <v>20</v>
      </c>
      <c r="N20" s="143" t="s">
        <v>21</v>
      </c>
      <c r="O20" s="143" t="s">
        <v>22</v>
      </c>
      <c r="P20" s="143" t="s">
        <v>23</v>
      </c>
      <c r="Q20" s="144" t="s">
        <v>24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12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13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14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15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16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.75" thickBot="1">
      <c r="B26" s="58"/>
      <c r="C26" s="27"/>
      <c r="D26" s="104">
        <f t="shared" si="1"/>
        <v>16</v>
      </c>
      <c r="E26" s="182" t="s">
        <v>81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.7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72</v>
      </c>
      <c r="M27" s="151"/>
      <c r="N27" s="152"/>
      <c r="O27" s="151"/>
      <c r="P27" s="152" t="s">
        <v>72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.7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.7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.7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26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17</v>
      </c>
      <c r="K62" s="5" t="s">
        <v>27</v>
      </c>
      <c r="L62" s="5" t="s">
        <v>28</v>
      </c>
      <c r="M62" s="5" t="s">
        <v>29</v>
      </c>
      <c r="N62" s="5" t="s">
        <v>30</v>
      </c>
      <c r="O62" s="5" t="s">
        <v>31</v>
      </c>
      <c r="P62" s="5" t="s">
        <v>23</v>
      </c>
      <c r="Q62" s="6" t="s">
        <v>27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.7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.7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32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17</v>
      </c>
      <c r="K69" s="5" t="s">
        <v>27</v>
      </c>
      <c r="L69" s="5" t="s">
        <v>28</v>
      </c>
      <c r="M69" s="5" t="s">
        <v>29</v>
      </c>
      <c r="N69" s="5" t="s">
        <v>30</v>
      </c>
      <c r="O69" s="5" t="s">
        <v>31</v>
      </c>
      <c r="P69" s="5" t="s">
        <v>23</v>
      </c>
      <c r="Q69" s="6" t="s">
        <v>27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33</v>
      </c>
      <c r="M70" s="13" t="s">
        <v>34</v>
      </c>
      <c r="N70" s="13" t="s">
        <v>35</v>
      </c>
      <c r="O70" s="13" t="s">
        <v>34</v>
      </c>
      <c r="P70" s="13" t="s">
        <v>33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36</v>
      </c>
      <c r="M71" s="13" t="s">
        <v>36</v>
      </c>
      <c r="N71" s="13" t="s">
        <v>37</v>
      </c>
      <c r="O71" s="13" t="s">
        <v>38</v>
      </c>
      <c r="P71" s="13" t="s">
        <v>36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39</v>
      </c>
      <c r="M72" s="13" t="s">
        <v>39</v>
      </c>
      <c r="N72" s="13" t="s">
        <v>40</v>
      </c>
      <c r="O72" s="13" t="s">
        <v>40</v>
      </c>
      <c r="P72" s="13" t="s">
        <v>41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42</v>
      </c>
      <c r="M73" s="13" t="s">
        <v>42</v>
      </c>
      <c r="N73" s="13" t="s">
        <v>42</v>
      </c>
      <c r="O73" s="13" t="s">
        <v>42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43</v>
      </c>
      <c r="M74" s="13" t="s">
        <v>43</v>
      </c>
      <c r="N74" s="13" t="s">
        <v>44</v>
      </c>
      <c r="O74" s="13" t="s">
        <v>43</v>
      </c>
      <c r="P74" s="13" t="s">
        <v>43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45</v>
      </c>
      <c r="M75" s="13" t="s">
        <v>45</v>
      </c>
      <c r="N75" s="13" t="s">
        <v>46</v>
      </c>
      <c r="O75" s="13" t="s">
        <v>46</v>
      </c>
      <c r="P75" s="13" t="s">
        <v>45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47</v>
      </c>
      <c r="M76" s="13" t="s">
        <v>47</v>
      </c>
      <c r="N76" s="13" t="s">
        <v>48</v>
      </c>
      <c r="O76" s="13" t="s">
        <v>48</v>
      </c>
      <c r="P76" s="13" t="s">
        <v>47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.7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49</v>
      </c>
      <c r="M77" s="15" t="s">
        <v>49</v>
      </c>
      <c r="N77" s="15" t="s">
        <v>49</v>
      </c>
      <c r="O77" s="15" t="s">
        <v>49</v>
      </c>
      <c r="P77" s="15" t="s">
        <v>50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.7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73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17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.7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.7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74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17</v>
      </c>
      <c r="K87" s="100" t="s">
        <v>18</v>
      </c>
      <c r="L87" s="100" t="s">
        <v>19</v>
      </c>
      <c r="M87" s="100" t="s">
        <v>20</v>
      </c>
      <c r="N87" s="100" t="s">
        <v>21</v>
      </c>
      <c r="O87" s="100" t="s">
        <v>22</v>
      </c>
      <c r="P87" s="100" t="s">
        <v>23</v>
      </c>
      <c r="Q87" s="101" t="s">
        <v>24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7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7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.7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.7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.7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45"/>
  <sheetViews>
    <sheetView showGridLines="0" zoomScaleNormal="100" workbookViewId="0">
      <selection activeCell="D13" sqref="D13"/>
    </sheetView>
  </sheetViews>
  <sheetFormatPr defaultRowHeight="15"/>
  <cols>
    <col min="1" max="1" width="35.7109375" style="55" customWidth="1"/>
    <col min="2" max="2" width="9.140625" style="55"/>
    <col min="3" max="3" width="6.7109375" style="55" customWidth="1"/>
    <col min="4" max="4" width="22.7109375" style="55" customWidth="1"/>
    <col min="5" max="5" width="6.7109375" style="55" customWidth="1"/>
    <col min="6" max="6" width="9.140625" style="55" customWidth="1"/>
    <col min="7" max="7" width="9.140625" style="55"/>
    <col min="8" max="8" width="6.140625" style="55" customWidth="1"/>
    <col min="9" max="9" width="7.140625" style="55" customWidth="1"/>
    <col min="10" max="10" width="15.140625" style="55" customWidth="1"/>
    <col min="11" max="11" width="11.7109375" style="55" customWidth="1"/>
    <col min="12" max="16384" width="9.140625" style="55"/>
  </cols>
  <sheetData>
    <row r="1" spans="2:15" ht="39.950000000000003" customHeight="1" thickBot="1"/>
    <row r="2" spans="2:15" ht="30" customHeight="1" thickBot="1">
      <c r="B2" s="243" t="s">
        <v>59</v>
      </c>
      <c r="C2" s="244"/>
      <c r="D2" s="244"/>
      <c r="E2" s="244"/>
      <c r="F2" s="244"/>
      <c r="G2" s="244"/>
      <c r="H2" s="244"/>
      <c r="I2" s="244"/>
      <c r="J2" s="244"/>
      <c r="K2" s="244"/>
      <c r="L2" s="245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.75" thickBot="1">
      <c r="B4" s="57"/>
      <c r="C4" s="248" t="s">
        <v>82</v>
      </c>
      <c r="D4" s="277"/>
      <c r="E4" s="278"/>
      <c r="F4" s="39"/>
      <c r="G4" s="49"/>
      <c r="H4" s="279" t="s">
        <v>87</v>
      </c>
      <c r="I4" s="280"/>
      <c r="J4" s="280"/>
      <c r="K4" s="281"/>
      <c r="L4" s="47"/>
    </row>
    <row r="5" spans="2:15" ht="15" customHeight="1">
      <c r="B5" s="57"/>
      <c r="C5" s="251" t="s">
        <v>86</v>
      </c>
      <c r="D5" s="252"/>
      <c r="E5" s="253"/>
      <c r="F5" s="39"/>
      <c r="G5" s="49"/>
      <c r="H5" s="271" t="s">
        <v>122</v>
      </c>
      <c r="I5" s="272"/>
      <c r="J5" s="272"/>
      <c r="K5" s="273"/>
      <c r="L5" s="47"/>
    </row>
    <row r="6" spans="2:15" ht="30" customHeight="1" thickBot="1">
      <c r="B6" s="57"/>
      <c r="C6" s="254"/>
      <c r="D6" s="255"/>
      <c r="E6" s="256"/>
      <c r="F6" s="39"/>
      <c r="G6" s="49"/>
      <c r="H6" s="274"/>
      <c r="I6" s="275"/>
      <c r="J6" s="275"/>
      <c r="K6" s="276"/>
      <c r="L6" s="47"/>
    </row>
    <row r="7" spans="2:15" ht="15.7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.75" thickBot="1">
      <c r="B8" s="60"/>
      <c r="C8" s="21"/>
      <c r="D8" s="33" t="s">
        <v>54</v>
      </c>
      <c r="E8" s="34"/>
      <c r="F8" s="23"/>
      <c r="G8" s="74"/>
      <c r="H8" s="248" t="s">
        <v>51</v>
      </c>
      <c r="I8" s="261"/>
      <c r="J8" s="261"/>
      <c r="K8" s="260"/>
      <c r="L8" s="44"/>
    </row>
    <row r="9" spans="2:15" ht="15.75" thickBot="1">
      <c r="B9" s="60"/>
      <c r="C9" s="21"/>
      <c r="D9" s="134" t="s">
        <v>55</v>
      </c>
      <c r="E9" s="34"/>
      <c r="F9" s="35"/>
      <c r="G9" s="74"/>
      <c r="H9" s="123" t="str">
        <f>INDEX(Setup!K87:Q87, 1, I9)</f>
        <v>C</v>
      </c>
      <c r="I9" s="124">
        <f>MOD(D27, 7)+1</f>
        <v>3</v>
      </c>
      <c r="J9" s="180" t="str">
        <f>CHOOSE(D29, "Sunday", "Monday", "Tuesday", "Wednesday", "Thursday", "Friday", "Saturday")</f>
        <v>Wednesday</v>
      </c>
      <c r="K9" s="125">
        <f>D13</f>
        <v>41514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17</v>
      </c>
      <c r="I10" s="127" t="s">
        <v>1</v>
      </c>
      <c r="J10" s="128" t="s">
        <v>52</v>
      </c>
      <c r="K10" s="129" t="s">
        <v>53</v>
      </c>
      <c r="L10" s="46"/>
    </row>
    <row r="11" spans="2:15">
      <c r="B11" s="60"/>
      <c r="C11" s="21"/>
      <c r="D11" s="135" t="s">
        <v>56</v>
      </c>
      <c r="E11" s="38"/>
      <c r="F11" s="39"/>
      <c r="G11" s="74"/>
      <c r="H11" s="114">
        <v>0.5</v>
      </c>
      <c r="I11" s="115">
        <f t="shared" ref="I11:I18" si="0">J35</f>
        <v>14</v>
      </c>
      <c r="J11" s="116" t="str">
        <f>INDEX(Setup!$E$10:$E$26, Schedule!I11 + 1, 1)</f>
        <v>FAC MTGS</v>
      </c>
      <c r="K11" s="117" t="str">
        <f t="shared" ref="K11:K18" si="1">IF(J35=16,0, K26)</f>
        <v>7:45-9:00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2</v>
      </c>
      <c r="J12" s="131" t="str">
        <f>INDEX(Setup!$E$10:$E$26, Schedule!I12 + 1, 1)</f>
        <v>Math</v>
      </c>
      <c r="K12" s="132" t="str">
        <f>IF(J36=16,0, K27)</f>
        <v>9:00-10:10</v>
      </c>
      <c r="L12" s="47"/>
    </row>
    <row r="13" spans="2:15">
      <c r="B13" s="60"/>
      <c r="C13" s="21"/>
      <c r="D13" s="177">
        <v>41514</v>
      </c>
      <c r="E13" s="38"/>
      <c r="F13" s="39"/>
      <c r="G13" s="74"/>
      <c r="H13" s="114">
        <v>1.5</v>
      </c>
      <c r="I13" s="115">
        <f t="shared" si="0"/>
        <v>10</v>
      </c>
      <c r="J13" s="116" t="str">
        <f>INDEX(Setup!$E$10:$E$26, Schedule!I13 + 1, 1)</f>
        <v>Break</v>
      </c>
      <c r="K13" s="117" t="str">
        <f t="shared" si="1"/>
        <v>10:10-10:25</v>
      </c>
      <c r="L13" s="47"/>
    </row>
    <row r="14" spans="2:15" ht="15.7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3</v>
      </c>
      <c r="J14" s="131" t="str">
        <f>INDEX(Setup!$E$10:$E$26, Schedule!I14 + 1, 1)</f>
        <v>Physics</v>
      </c>
      <c r="K14" s="132" t="str">
        <f t="shared" si="1"/>
        <v>10:25-11:35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4</v>
      </c>
      <c r="J15" s="131" t="str">
        <f>INDEX(Setup!$E$10:$E$26, Schedule!I15 + 1, 1)</f>
        <v>Bible</v>
      </c>
      <c r="K15" s="132" t="str">
        <f t="shared" si="1"/>
        <v>11:35-1:40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1:40-1:50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5</v>
      </c>
      <c r="J17" s="131" t="str">
        <f>INDEX(Setup!$E$10:$E$26, Schedule!I17 + 1, 1)</f>
        <v>English</v>
      </c>
      <c r="K17" s="132" t="str">
        <f t="shared" si="1"/>
        <v>1:50-3:00</v>
      </c>
      <c r="L17" s="47"/>
    </row>
    <row r="18" spans="2:12" ht="15.7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9</v>
      </c>
      <c r="J18" s="121" t="str">
        <f>INDEX(Setup!$E$10:$E$26, Schedule!I18 + 1, 1)</f>
        <v>Office Hours</v>
      </c>
      <c r="K18" s="122" t="str">
        <f t="shared" si="1"/>
        <v>3:00-3:30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.7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57</v>
      </c>
      <c r="H26" s="114">
        <v>0.5</v>
      </c>
      <c r="I26" s="115">
        <f>INDEX(Setup!$K$63:$Q$66, 1, $D$29)</f>
        <v>14</v>
      </c>
      <c r="J26" s="55">
        <f>IF(AND($D$29&lt;7, $D$29&gt;1), I26, 0)</f>
        <v>14</v>
      </c>
      <c r="K26" s="117" t="str">
        <f>INDEX(Setup!K70:Q73,1, Schedule!D29)</f>
        <v>7:45-9:00</v>
      </c>
    </row>
    <row r="27" spans="2:12" ht="15.75" hidden="1" thickBot="1">
      <c r="D27" s="107">
        <f>MAX(NETWORKDAYS(Schedule!D10, Schedule!D13,Setup!V61:V123)-1, 0)</f>
        <v>9</v>
      </c>
      <c r="H27" s="130">
        <v>1</v>
      </c>
      <c r="I27" s="133">
        <f>INDEX(Setup!$K$88:$Q$91, Schedule!H27, $I$9)</f>
        <v>2</v>
      </c>
      <c r="J27" s="55">
        <f t="shared" ref="J27:J33" si="2">IF(AND($D$29&lt;7, $D$29&gt;1), I27, 0)</f>
        <v>2</v>
      </c>
      <c r="K27" s="132" t="str">
        <f>INDEX(Setup!$K$74:$Q$77,1, Schedule!D29)</f>
        <v>9:00-10:10</v>
      </c>
    </row>
    <row r="28" spans="2:12" hidden="1">
      <c r="D28" s="106" t="s">
        <v>58</v>
      </c>
      <c r="H28" s="114">
        <v>1.5</v>
      </c>
      <c r="I28" s="118">
        <f>INDEX(Setup!$K$63:$Q$66, 2, $D$29)</f>
        <v>10</v>
      </c>
      <c r="J28" s="55">
        <f t="shared" si="2"/>
        <v>10</v>
      </c>
      <c r="K28" s="117" t="str">
        <f>INDEX(Setup!K70:Q73,2, Schedule!D29)</f>
        <v>10:10-10:25</v>
      </c>
    </row>
    <row r="29" spans="2:12" ht="15.75" hidden="1" thickBot="1">
      <c r="D29" s="107">
        <f>WEEKDAY(D13)</f>
        <v>4</v>
      </c>
      <c r="H29" s="130">
        <v>2</v>
      </c>
      <c r="I29" s="133">
        <f>INDEX(Setup!$K$88:$Q$91, Schedule!H29, $I$9)</f>
        <v>3</v>
      </c>
      <c r="J29" s="55">
        <f t="shared" si="2"/>
        <v>3</v>
      </c>
      <c r="K29" s="132" t="str">
        <f>INDEX(Setup!K74:Q77,H14, Schedule!D29)</f>
        <v>10:25-11:35</v>
      </c>
    </row>
    <row r="30" spans="2:12" hidden="1">
      <c r="H30" s="130">
        <v>3</v>
      </c>
      <c r="I30" s="133">
        <f>INDEX(Setup!$K$88:$Q$91, Schedule!H30, $I$9)</f>
        <v>4</v>
      </c>
      <c r="J30" s="55">
        <f t="shared" si="2"/>
        <v>4</v>
      </c>
      <c r="K30" s="132" t="str">
        <f>INDEX(Setup!K74:Q77,H15, Schedule!D29)</f>
        <v>11:35-1:40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1:40-1:50</v>
      </c>
    </row>
    <row r="32" spans="2:12" hidden="1">
      <c r="H32" s="130">
        <v>4</v>
      </c>
      <c r="I32" s="133">
        <f>INDEX(Setup!$K$88:$Q$91, Schedule!H32, $I$9)</f>
        <v>5</v>
      </c>
      <c r="J32" s="55">
        <f t="shared" si="2"/>
        <v>5</v>
      </c>
      <c r="K32" s="132" t="str">
        <f>INDEX(Setup!K74:Q77,H17, Schedule!D29)</f>
        <v>1:50-3:00</v>
      </c>
    </row>
    <row r="33" spans="8:11" ht="15.75" hidden="1" thickBot="1">
      <c r="H33" s="119">
        <v>4.5</v>
      </c>
      <c r="I33" s="120">
        <f>INDEX(Setup!$K$63:$Q$66, 4, $D$29)</f>
        <v>9</v>
      </c>
      <c r="J33" s="55">
        <f t="shared" si="2"/>
        <v>9</v>
      </c>
      <c r="K33" s="122" t="str">
        <f>INDEX(Setup!K70:Q73,4, Schedule!D29)</f>
        <v>3:00-3:30</v>
      </c>
    </row>
    <row r="34" spans="8:11" hidden="1"/>
    <row r="35" spans="8:11" hidden="1">
      <c r="J35" s="55">
        <f>IF(ISERROR(MATCH($K$9, Setup!$V$10:$V$123, 0)), Schedule!J26, Setup!$D$26)</f>
        <v>14</v>
      </c>
    </row>
    <row r="36" spans="8:11" hidden="1">
      <c r="J36" s="55">
        <f>IF(ISERROR(MATCH($K$9, Setup!$V$10:$V$123, 0)), Schedule!J27, Setup!$D$26)</f>
        <v>2</v>
      </c>
    </row>
    <row r="37" spans="8:11" hidden="1">
      <c r="J37" s="55">
        <f>IF(ISERROR(MATCH($K$9, Setup!$V$10:$V$123, 0)), Schedule!J28, Setup!$D$26)</f>
        <v>10</v>
      </c>
    </row>
    <row r="38" spans="8:11" hidden="1">
      <c r="J38" s="55">
        <f>IF(ISERROR(MATCH($K$9, Setup!$V$10:$V$123, 0)), Schedule!J29, Setup!$D$26)</f>
        <v>3</v>
      </c>
    </row>
    <row r="39" spans="8:11" hidden="1">
      <c r="J39" s="55">
        <f>IF(ISERROR(MATCH($K$9, Setup!$V$10:$V$123, 0)), Schedule!J30, Setup!$D$26)</f>
        <v>4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5</v>
      </c>
    </row>
    <row r="42" spans="8:11" hidden="1">
      <c r="J42" s="55">
        <f>IF(ISERROR(MATCH($K$9, Setup!$V$10:$V$123, 0)), Schedule!J33, Setup!$D$26)</f>
        <v>9</v>
      </c>
    </row>
    <row r="43" spans="8:11" hidden="1"/>
    <row r="44" spans="8:11" hidden="1"/>
    <row r="45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AG32"/>
  <sheetViews>
    <sheetView showGridLines="0" zoomScaleNormal="100" workbookViewId="0">
      <selection activeCell="C7" sqref="C7"/>
    </sheetView>
  </sheetViews>
  <sheetFormatPr defaultRowHeight="15"/>
  <cols>
    <col min="1" max="1" width="35.7109375" style="55" customWidth="1"/>
    <col min="2" max="2" width="9.140625" style="55"/>
    <col min="3" max="3" width="5.85546875" style="55" customWidth="1"/>
    <col min="4" max="8" width="15.140625" style="55" customWidth="1"/>
    <col min="9" max="9" width="9.140625" style="55"/>
    <col min="10" max="10" width="9.7109375" style="55" bestFit="1" customWidth="1"/>
    <col min="11" max="12" width="9.85546875" style="55" bestFit="1" customWidth="1"/>
    <col min="13" max="14" width="10.85546875" style="55" bestFit="1" customWidth="1"/>
    <col min="15" max="15" width="9.85546875" style="55" customWidth="1"/>
    <col min="16" max="16" width="9.5703125" style="55" hidden="1" customWidth="1"/>
    <col min="17" max="17" width="9.85546875" style="55" hidden="1" customWidth="1"/>
    <col min="18" max="18" width="11.28515625" style="55" hidden="1" customWidth="1"/>
    <col min="19" max="19" width="9.5703125" style="55" hidden="1" customWidth="1"/>
    <col min="20" max="20" width="11.140625" style="55" hidden="1" customWidth="1"/>
    <col min="21" max="33" width="9.140625" style="55" hidden="1" customWidth="1"/>
    <col min="34" max="16384" width="9.140625" style="55"/>
  </cols>
  <sheetData>
    <row r="1" spans="2:32" ht="39.950000000000003" customHeight="1" thickBot="1"/>
    <row r="2" spans="2:32" ht="30" customHeight="1" thickBot="1">
      <c r="B2" s="282" t="str">
        <f>CONCATENATE(R2, " (", T2, " - ", U2, ")")</f>
        <v>Weekly Schedule (8/26/13 - 8/30/13)</v>
      </c>
      <c r="C2" s="283"/>
      <c r="D2" s="283"/>
      <c r="E2" s="283"/>
      <c r="F2" s="283"/>
      <c r="G2" s="283"/>
      <c r="H2" s="283"/>
      <c r="I2" s="284"/>
      <c r="R2" s="55" t="s">
        <v>121</v>
      </c>
      <c r="T2" s="55" t="str">
        <f>TEXT(D7, "m/d/yy")</f>
        <v>8/26/13</v>
      </c>
      <c r="U2" s="55" t="str">
        <f>TEXT(H7, "m/d/yy")</f>
        <v>8/30/13</v>
      </c>
    </row>
    <row r="3" spans="2:32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32" ht="15" customHeight="1" thickBot="1">
      <c r="B4" s="206"/>
      <c r="C4" s="288" t="s">
        <v>123</v>
      </c>
      <c r="D4" s="289"/>
      <c r="E4" s="289"/>
      <c r="F4" s="289"/>
      <c r="G4" s="289"/>
      <c r="H4" s="290"/>
      <c r="I4" s="207"/>
    </row>
    <row r="5" spans="2:32" ht="69.95" customHeight="1" thickBot="1">
      <c r="B5" s="206"/>
      <c r="C5" s="285" t="s">
        <v>124</v>
      </c>
      <c r="D5" s="286"/>
      <c r="E5" s="286"/>
      <c r="F5" s="286"/>
      <c r="G5" s="286"/>
      <c r="H5" s="287"/>
      <c r="I5" s="207"/>
    </row>
    <row r="6" spans="2:32" ht="15" customHeight="1" thickBot="1">
      <c r="B6" s="58"/>
      <c r="C6" s="27"/>
      <c r="D6" s="27"/>
      <c r="E6" s="27"/>
      <c r="F6" s="27"/>
      <c r="G6" s="28"/>
      <c r="H6" s="27"/>
      <c r="I6" s="59"/>
    </row>
    <row r="7" spans="2:32">
      <c r="B7" s="58"/>
      <c r="C7" s="208"/>
      <c r="D7" s="209">
        <f>Q7 - (WEEKDAY(Q7) - 2)</f>
        <v>41512</v>
      </c>
      <c r="E7" s="209">
        <f>D7+1</f>
        <v>41513</v>
      </c>
      <c r="F7" s="210">
        <f t="shared" ref="F7:H7" si="0">E7+1</f>
        <v>41514</v>
      </c>
      <c r="G7" s="211">
        <f t="shared" si="0"/>
        <v>41515</v>
      </c>
      <c r="H7" s="212">
        <f t="shared" si="0"/>
        <v>41516</v>
      </c>
      <c r="I7" s="59"/>
      <c r="Q7" s="213">
        <f>Schedule!D13</f>
        <v>41514</v>
      </c>
    </row>
    <row r="8" spans="2:32">
      <c r="B8" s="58"/>
      <c r="C8" s="214"/>
      <c r="D8" s="215" t="str">
        <f>CHOOSE(R10, "Sunday", "Monday", "Tuesday", "Wednesday", "Thursday", "Friday", "Saturday")</f>
        <v>Monday</v>
      </c>
      <c r="E8" s="215" t="str">
        <f>CHOOSE(S10, "Sunday", "Monday", "Tuesday", "Wednesday", "Thursday", "Friday", "Saturday")</f>
        <v>Tuesday</v>
      </c>
      <c r="F8" s="216" t="str">
        <f>CHOOSE(T10, "Sunday", "Monday", "Tuesday", "Wednesday", "Thursday", "Friday", "Saturday")</f>
        <v>Wednesday</v>
      </c>
      <c r="G8" s="217" t="str">
        <f>CHOOSE(U10, "Sunday", "Monday", "Tuesday", "Wednesday", "Thursday", "Friday", "Saturday")</f>
        <v>Thursday</v>
      </c>
      <c r="H8" s="218" t="str">
        <f>CHOOSE(V10, "Sunday", "Monday", "Tuesday", "Wednesday", "Thursday", "Friday", "Saturday")</f>
        <v>Friday</v>
      </c>
      <c r="I8" s="59"/>
    </row>
    <row r="9" spans="2:32">
      <c r="B9" s="58"/>
      <c r="C9" s="214"/>
      <c r="D9" s="215" t="str">
        <f>INDEX(Setup!$K$87:$Q$87, 1, R13)</f>
        <v>A</v>
      </c>
      <c r="E9" s="215" t="str">
        <f>INDEX(Setup!$K$87:$Q$87, 1, S13)</f>
        <v>B</v>
      </c>
      <c r="F9" s="216" t="str">
        <f>INDEX(Setup!$K$87:$Q$87, 1, T13)</f>
        <v>C</v>
      </c>
      <c r="G9" s="217" t="str">
        <f>INDEX(Setup!$K$87:$Q$87, 1, U13)</f>
        <v>D</v>
      </c>
      <c r="H9" s="218" t="str">
        <f>INDEX(Setup!$K$87:$Q$87, 1, V13)</f>
        <v>E</v>
      </c>
      <c r="I9" s="59"/>
    </row>
    <row r="10" spans="2:32" ht="15.75" customHeight="1" thickBot="1">
      <c r="B10" s="58"/>
      <c r="C10" s="219" t="s">
        <v>91</v>
      </c>
      <c r="D10" s="220"/>
      <c r="E10" s="319" t="s">
        <v>92</v>
      </c>
      <c r="F10" s="321" t="s">
        <v>93</v>
      </c>
      <c r="G10" s="324" t="s">
        <v>92</v>
      </c>
      <c r="H10" s="221"/>
      <c r="I10" s="59"/>
      <c r="R10" s="55">
        <f>WEEKDAY(D7)</f>
        <v>2</v>
      </c>
      <c r="S10" s="55">
        <f>WEEKDAY(E7)</f>
        <v>3</v>
      </c>
      <c r="T10" s="55">
        <f>WEEKDAY(F7)</f>
        <v>4</v>
      </c>
      <c r="U10" s="55">
        <f>WEEKDAY(G7)</f>
        <v>5</v>
      </c>
      <c r="V10" s="55">
        <f>WEEKDAY(H7)</f>
        <v>6</v>
      </c>
      <c r="X10" s="55" t="s">
        <v>120</v>
      </c>
    </row>
    <row r="11" spans="2:32" ht="51" customHeight="1">
      <c r="B11" s="58"/>
      <c r="C11" s="222" t="s">
        <v>94</v>
      </c>
      <c r="D11" s="223" t="s">
        <v>95</v>
      </c>
      <c r="E11" s="320"/>
      <c r="F11" s="322"/>
      <c r="G11" s="324"/>
      <c r="H11" s="224" t="s">
        <v>95</v>
      </c>
      <c r="I11" s="59"/>
      <c r="R11" s="55">
        <f>MAX(NETWORKDAYS(Schedule!$D$10,D7,Setup!$V$61:$V$123)-1, 0)</f>
        <v>7</v>
      </c>
      <c r="S11" s="55">
        <f>MAX(NETWORKDAYS(Schedule!$D$10,E7,Setup!$V$61:$V$123)-1, 0)</f>
        <v>8</v>
      </c>
      <c r="T11" s="55">
        <f>MAX(NETWORKDAYS(Schedule!$D$10,F7,Setup!$V$61:$V$123)-1, 0)</f>
        <v>9</v>
      </c>
      <c r="U11" s="55">
        <f>MAX(NETWORKDAYS(Schedule!$D$10,G7,Setup!$V$61:$V$123)-1, 0)</f>
        <v>10</v>
      </c>
      <c r="V11" s="55">
        <f>MAX(NETWORKDAYS(Schedule!$D$10,H7,Setup!$V$61:$V$123)-1, 0)</f>
        <v>11</v>
      </c>
    </row>
    <row r="12" spans="2:32" ht="15.75" customHeight="1" thickBot="1">
      <c r="B12" s="58"/>
      <c r="C12" s="219" t="s">
        <v>96</v>
      </c>
      <c r="D12" s="307" t="str">
        <f>W20</f>
        <v>History
(8:30-9:40)</v>
      </c>
      <c r="E12" s="310" t="str">
        <f>X20</f>
        <v>English
(8:30-9:40)</v>
      </c>
      <c r="F12" s="323"/>
      <c r="G12" s="316" t="str">
        <f>Z20</f>
        <v>Orchestra
(8:30-9:40)</v>
      </c>
      <c r="H12" s="291" t="str">
        <f>AA20</f>
        <v>Physics
(8:30-9:40)</v>
      </c>
      <c r="I12" s="59"/>
    </row>
    <row r="13" spans="2:32" ht="15" customHeight="1">
      <c r="B13" s="58"/>
      <c r="C13" s="222" t="s">
        <v>97</v>
      </c>
      <c r="D13" s="309"/>
      <c r="E13" s="312"/>
      <c r="F13" s="313" t="str">
        <f>Y20</f>
        <v>Math
(9:00-10:10)</v>
      </c>
      <c r="G13" s="316"/>
      <c r="H13" s="293"/>
      <c r="I13" s="59"/>
      <c r="R13" s="55">
        <f>MOD(R11, 7) +1</f>
        <v>1</v>
      </c>
      <c r="S13" s="55">
        <f t="shared" ref="S13:V13" si="1">MOD(S11, 7) +1</f>
        <v>2</v>
      </c>
      <c r="T13" s="55">
        <f t="shared" si="1"/>
        <v>3</v>
      </c>
      <c r="U13" s="55">
        <f t="shared" si="1"/>
        <v>4</v>
      </c>
      <c r="V13" s="55">
        <f t="shared" si="1"/>
        <v>5</v>
      </c>
    </row>
    <row r="14" spans="2:32" ht="15" customHeight="1">
      <c r="B14" s="58"/>
      <c r="C14" s="214" t="s">
        <v>98</v>
      </c>
      <c r="D14" s="220" t="s">
        <v>11</v>
      </c>
      <c r="E14" s="220" t="s">
        <v>11</v>
      </c>
      <c r="F14" s="314"/>
      <c r="G14" s="318" t="s">
        <v>99</v>
      </c>
      <c r="H14" s="221" t="s">
        <v>100</v>
      </c>
      <c r="I14" s="59"/>
    </row>
    <row r="15" spans="2:32" ht="15.75" customHeight="1" thickBot="1">
      <c r="B15" s="58"/>
      <c r="C15" s="219" t="s">
        <v>101</v>
      </c>
      <c r="D15" s="307" t="str">
        <f>W21</f>
        <v>Math
(9:55-11:05)</v>
      </c>
      <c r="E15" s="310" t="str">
        <f>X21</f>
        <v>Orchestra
(9:55-11:05)</v>
      </c>
      <c r="F15" s="314"/>
      <c r="G15" s="318"/>
      <c r="H15" s="291" t="str">
        <f>AA21</f>
        <v>Bible
(9:55-11:05)</v>
      </c>
      <c r="I15" s="59"/>
    </row>
    <row r="16" spans="2:32">
      <c r="B16" s="58"/>
      <c r="C16" s="222" t="s">
        <v>102</v>
      </c>
      <c r="D16" s="308"/>
      <c r="E16" s="311"/>
      <c r="F16" s="315"/>
      <c r="G16" s="318"/>
      <c r="H16" s="292"/>
      <c r="I16" s="59"/>
      <c r="Q16" s="225">
        <v>1</v>
      </c>
      <c r="R16" s="226">
        <f>IF(ISERROR(MATCH(D$7, Setup!$V$10:$V$123, 0)), R26, Setup!$D$26)</f>
        <v>1</v>
      </c>
      <c r="S16" s="226">
        <f>IF(ISERROR(MATCH(E$7, Setup!$V$10:$V$123, 0)), S26, Setup!$D$26)</f>
        <v>5</v>
      </c>
      <c r="T16" s="226">
        <f>IF(ISERROR(MATCH(F$7, Setup!$V$10:$V$123, 0)), T26, Setup!$D$26)</f>
        <v>2</v>
      </c>
      <c r="U16" s="226">
        <f>IF(ISERROR(MATCH(G$7, Setup!$V$10:$V$123, 0)), U26, Setup!$D$26)</f>
        <v>6</v>
      </c>
      <c r="V16" s="226">
        <f>IF(ISERROR(MATCH(H$7, Setup!$V$10:$V$123, 0)), V26, Setup!$D$26)</f>
        <v>3</v>
      </c>
      <c r="W16" s="225" t="str">
        <f>INDEX(Setup!$E$10:$E$26, R16 + 1, 1)</f>
        <v>History</v>
      </c>
      <c r="X16" s="225" t="str">
        <f>INDEX(Setup!$E$10:$E$26, S16 + 1, 1)</f>
        <v>English</v>
      </c>
      <c r="Y16" s="225" t="str">
        <f>INDEX(Setup!$E$10:$E$26, T16 + 1, 1)</f>
        <v>Math</v>
      </c>
      <c r="Z16" s="225" t="str">
        <f>INDEX(Setup!$E$10:$E$26, U16 + 1, 1)</f>
        <v>Orchestra</v>
      </c>
      <c r="AA16" s="225" t="str">
        <f>INDEX(Setup!$E$10:$E$26, V16 + 1, 1)</f>
        <v>Physics</v>
      </c>
      <c r="AB16" s="227" t="str">
        <f t="shared" ref="AB16:AF17" si="2">W16</f>
        <v>History</v>
      </c>
      <c r="AC16" s="227" t="str">
        <f t="shared" si="2"/>
        <v>English</v>
      </c>
      <c r="AD16" s="227" t="str">
        <f t="shared" si="2"/>
        <v>Math</v>
      </c>
      <c r="AE16" s="227" t="str">
        <f t="shared" si="2"/>
        <v>Orchestra</v>
      </c>
      <c r="AF16" s="227" t="str">
        <f t="shared" si="2"/>
        <v>Physics</v>
      </c>
    </row>
    <row r="17" spans="2:32">
      <c r="B17" s="58"/>
      <c r="C17" s="214" t="s">
        <v>103</v>
      </c>
      <c r="D17" s="308"/>
      <c r="E17" s="311"/>
      <c r="F17" s="228" t="s">
        <v>11</v>
      </c>
      <c r="G17" s="318"/>
      <c r="H17" s="292"/>
      <c r="I17" s="59"/>
      <c r="Q17" s="225">
        <v>2</v>
      </c>
      <c r="R17" s="226">
        <f>IF(ISERROR(MATCH(D$7, Setup!$V$10:$V$123, 0)), R27, Setup!$D$26)</f>
        <v>2</v>
      </c>
      <c r="S17" s="226">
        <f>IF(ISERROR(MATCH(E$7, Setup!$V$10:$V$123, 0)), S27, Setup!$D$26)</f>
        <v>6</v>
      </c>
      <c r="T17" s="226">
        <f>IF(ISERROR(MATCH(F$7, Setup!$V$10:$V$123, 0)), T27, Setup!$D$26)</f>
        <v>3</v>
      </c>
      <c r="U17" s="226">
        <f>IF(ISERROR(MATCH(G$7, Setup!$V$10:$V$123, 0)), U27, Setup!$D$26)</f>
        <v>7</v>
      </c>
      <c r="V17" s="226">
        <f>IF(ISERROR(MATCH(H$7, Setup!$V$10:$V$123, 0)), V27, Setup!$D$26)</f>
        <v>4</v>
      </c>
      <c r="W17" s="225" t="str">
        <f>INDEX(Setup!$E$10:$E$26, R17 + 1, 1)</f>
        <v>Math</v>
      </c>
      <c r="X17" s="225" t="str">
        <f>INDEX(Setup!$E$10:$E$26, S17 + 1, 1)</f>
        <v>Orchestra</v>
      </c>
      <c r="Y17" s="225" t="str">
        <f>INDEX(Setup!$E$10:$E$26, T17 + 1, 1)</f>
        <v>Physics</v>
      </c>
      <c r="Z17" s="225" t="str">
        <f>INDEX(Setup!$E$10:$E$26, U17 + 1, 1)</f>
        <v>Physics</v>
      </c>
      <c r="AA17" s="225" t="str">
        <f>INDEX(Setup!$E$10:$E$26, V17 + 1, 1)</f>
        <v>Bible</v>
      </c>
      <c r="AB17" s="227" t="str">
        <f t="shared" si="2"/>
        <v>Math</v>
      </c>
      <c r="AC17" s="227" t="str">
        <f t="shared" si="2"/>
        <v>Orchestra</v>
      </c>
      <c r="AD17" s="227" t="str">
        <f t="shared" si="2"/>
        <v>Physics</v>
      </c>
      <c r="AE17" s="227" t="str">
        <f t="shared" si="2"/>
        <v>Physics</v>
      </c>
      <c r="AF17" s="227" t="str">
        <f t="shared" si="2"/>
        <v>Bible</v>
      </c>
    </row>
    <row r="18" spans="2:32" ht="15.75" customHeight="1" thickBot="1">
      <c r="B18" s="58"/>
      <c r="C18" s="219" t="s">
        <v>104</v>
      </c>
      <c r="D18" s="308"/>
      <c r="E18" s="311"/>
      <c r="F18" s="294" t="str">
        <f>Y21</f>
        <v>Physics
(10:25-11:35)</v>
      </c>
      <c r="G18" s="297" t="str">
        <f>Z21</f>
        <v>Physics
(10:25-11:35)</v>
      </c>
      <c r="H18" s="292"/>
      <c r="I18" s="59"/>
      <c r="Q18" s="225">
        <v>3</v>
      </c>
      <c r="R18" s="226">
        <f>IF(ISERROR(MATCH(D$7, Setup!$V$10:$V$123, 0)), R28, Setup!$D$26)</f>
        <v>3</v>
      </c>
      <c r="S18" s="226">
        <f>IF(ISERROR(MATCH(E$7, Setup!$V$10:$V$123, 0)), S28, Setup!$D$26)</f>
        <v>7</v>
      </c>
      <c r="T18" s="226">
        <f>IF(ISERROR(MATCH(F$7, Setup!$V$10:$V$123, 0)), T28, Setup!$D$26)</f>
        <v>4</v>
      </c>
      <c r="U18" s="226">
        <f>IF(ISERROR(MATCH(G$7, Setup!$V$10:$V$123, 0)), U28, Setup!$D$26)</f>
        <v>1</v>
      </c>
      <c r="V18" s="226">
        <f>IF(ISERROR(MATCH(H$7, Setup!$V$10:$V$123, 0)), V28, Setup!$D$26)</f>
        <v>5</v>
      </c>
      <c r="W18" s="225" t="str">
        <f>INDEX(Setup!$E$10:$E$26, R18 + 1, 1)</f>
        <v>Physics</v>
      </c>
      <c r="X18" s="225" t="str">
        <f>INDEX(Setup!$E$10:$E$26, S18 + 1, 1)</f>
        <v>Physics</v>
      </c>
      <c r="Y18" s="225" t="str">
        <f>INDEX(Setup!$E$10:$E$26, T18 + 1, 1)</f>
        <v>Bible</v>
      </c>
      <c r="Z18" s="225" t="str">
        <f>INDEX(Setup!$E$10:$E$26, U18 + 1, 1)</f>
        <v>History</v>
      </c>
      <c r="AA18" s="225" t="str">
        <f>INDEX(Setup!$E$10:$E$26, V18 + 1, 1)</f>
        <v>English</v>
      </c>
      <c r="AB18" s="229" t="str">
        <f>W18&amp;CHAR(10)&amp;$X$10</f>
        <v>Physics
and Lunch</v>
      </c>
      <c r="AC18" s="229" t="str">
        <f>X18&amp;CHAR(10)&amp;$X$10</f>
        <v>Physics
and Lunch</v>
      </c>
      <c r="AD18" s="229" t="str">
        <f>Y18&amp;CHAR(10)&amp;$X$10</f>
        <v>Bible
and Lunch</v>
      </c>
      <c r="AE18" s="229" t="str">
        <f>Z18&amp;CHAR(10)&amp;$X$10</f>
        <v>History
and Lunch</v>
      </c>
      <c r="AF18" s="229" t="str">
        <f>AA18&amp;CHAR(10)&amp;$X$10</f>
        <v>English
and Lunch</v>
      </c>
    </row>
    <row r="19" spans="2:32">
      <c r="B19" s="58"/>
      <c r="C19" s="222" t="s">
        <v>105</v>
      </c>
      <c r="D19" s="309"/>
      <c r="E19" s="312"/>
      <c r="F19" s="295"/>
      <c r="G19" s="298"/>
      <c r="H19" s="293"/>
      <c r="I19" s="59"/>
      <c r="Q19" s="225">
        <v>4</v>
      </c>
      <c r="R19" s="226">
        <f>IF(ISERROR(MATCH(D$7, Setup!$V$10:$V$123, 0)), R29, Setup!$D$26)</f>
        <v>4</v>
      </c>
      <c r="S19" s="226">
        <f>IF(ISERROR(MATCH(E$7, Setup!$V$10:$V$123, 0)), S29, Setup!$D$26)</f>
        <v>1</v>
      </c>
      <c r="T19" s="226">
        <f>IF(ISERROR(MATCH(F$7, Setup!$V$10:$V$123, 0)), T29, Setup!$D$26)</f>
        <v>5</v>
      </c>
      <c r="U19" s="226">
        <f>IF(ISERROR(MATCH(G$7, Setup!$V$10:$V$123, 0)), U29, Setup!$D$26)</f>
        <v>2</v>
      </c>
      <c r="V19" s="226">
        <f>IF(ISERROR(MATCH(H$7, Setup!$V$10:$V$123, 0)), V29, Setup!$D$26)</f>
        <v>6</v>
      </c>
      <c r="W19" s="225" t="str">
        <f>INDEX(Setup!$E$10:$E$26, R19 + 1, 1)</f>
        <v>Bible</v>
      </c>
      <c r="X19" s="225" t="str">
        <f>INDEX(Setup!$E$10:$E$26, S19 + 1, 1)</f>
        <v>History</v>
      </c>
      <c r="Y19" s="225" t="str">
        <f>INDEX(Setup!$E$10:$E$26, T19 + 1, 1)</f>
        <v>English</v>
      </c>
      <c r="Z19" s="225" t="str">
        <f>INDEX(Setup!$E$10:$E$26, U19 + 1, 1)</f>
        <v>Math</v>
      </c>
      <c r="AA19" s="225" t="str">
        <f>INDEX(Setup!$E$10:$E$26, V19 + 1, 1)</f>
        <v>Orchestra</v>
      </c>
      <c r="AB19" s="227" t="str">
        <f>W19</f>
        <v>Bible</v>
      </c>
      <c r="AC19" s="227" t="str">
        <f>X19</f>
        <v>History</v>
      </c>
      <c r="AD19" s="227" t="str">
        <f>Y19</f>
        <v>English</v>
      </c>
      <c r="AE19" s="227" t="str">
        <f>Z19</f>
        <v>Math</v>
      </c>
      <c r="AF19" s="227" t="str">
        <f>AA19</f>
        <v>Orchestra</v>
      </c>
    </row>
    <row r="20" spans="2:32" ht="15" customHeight="1">
      <c r="B20" s="58"/>
      <c r="C20" s="214" t="s">
        <v>106</v>
      </c>
      <c r="D20" s="307" t="str">
        <f>W22</f>
        <v>Physics
and Lunch
(11:05-1:10)</v>
      </c>
      <c r="E20" s="310" t="str">
        <f>X22</f>
        <v>Physics
and Lunch
(11:05-1:10)</v>
      </c>
      <c r="F20" s="296"/>
      <c r="G20" s="299"/>
      <c r="H20" s="291" t="str">
        <f>AA22</f>
        <v>English
and Lunch
(11:05-1:10)</v>
      </c>
      <c r="I20" s="59"/>
      <c r="Q20" s="230"/>
      <c r="R20" s="231" t="str">
        <f>CONCATENATE("(", INDEX(Setup!$K$74:$Q$77,$Q16,R$10), ")")</f>
        <v>(8:30-9:40)</v>
      </c>
      <c r="S20" s="231" t="str">
        <f>CONCATENATE("(", INDEX(Setup!$K$74:$Q$77,$Q16,S$10), ")")</f>
        <v>(8:30-9:40)</v>
      </c>
      <c r="T20" s="231" t="str">
        <f>CONCATENATE("(", INDEX(Setup!$K$74:$Q$77,$Q16,T$10), ")")</f>
        <v>(9:00-10:10)</v>
      </c>
      <c r="U20" s="231" t="str">
        <f>CONCATENATE("(", INDEX(Setup!$K$74:$Q$77,$Q16,U$10), ")")</f>
        <v>(8:30-9:40)</v>
      </c>
      <c r="V20" s="231" t="str">
        <f>CONCATENATE("(", INDEX(Setup!$K$74:$Q$77,$Q16,V$10), ")")</f>
        <v>(8:30-9:40)</v>
      </c>
      <c r="W20" s="232" t="str">
        <f>AB16&amp;CHAR(10)&amp;R20</f>
        <v>History
(8:30-9:40)</v>
      </c>
      <c r="X20" s="232" t="str">
        <f t="shared" ref="X20:AA20" si="3">AC16&amp;CHAR(10)&amp;S20</f>
        <v>English
(8:30-9:40)</v>
      </c>
      <c r="Y20" s="232" t="str">
        <f t="shared" si="3"/>
        <v>Math
(9:00-10:10)</v>
      </c>
      <c r="Z20" s="232" t="str">
        <f t="shared" si="3"/>
        <v>Orchestra
(8:30-9:40)</v>
      </c>
      <c r="AA20" s="232" t="str">
        <f t="shared" si="3"/>
        <v>Physics
(8:30-9:40)</v>
      </c>
    </row>
    <row r="21" spans="2:32" ht="15.75" customHeight="1" thickBot="1">
      <c r="B21" s="58"/>
      <c r="C21" s="219" t="s">
        <v>107</v>
      </c>
      <c r="D21" s="308"/>
      <c r="E21" s="311"/>
      <c r="F21" s="294" t="str">
        <f>Y22</f>
        <v>Bible
and Lunch
(11:35-1:40)</v>
      </c>
      <c r="G21" s="297" t="str">
        <f>Z22</f>
        <v>History
and Lunch
(11:35-1:40)</v>
      </c>
      <c r="H21" s="292"/>
      <c r="I21" s="59"/>
      <c r="Q21" s="230"/>
      <c r="R21" s="231" t="str">
        <f>CONCATENATE("(", INDEX(Setup!$K$74:$Q$77,$Q17,R$10), ")")</f>
        <v>(9:55-11:05)</v>
      </c>
      <c r="S21" s="231" t="str">
        <f>CONCATENATE("(", INDEX(Setup!$K$74:$Q$77,$Q17,S$10), ")")</f>
        <v>(9:55-11:05)</v>
      </c>
      <c r="T21" s="231" t="str">
        <f>CONCATENATE("(", INDEX(Setup!$K$74:$Q$77,$Q17,T$10), ")")</f>
        <v>(10:25-11:35)</v>
      </c>
      <c r="U21" s="231" t="str">
        <f>CONCATENATE("(", INDEX(Setup!$K$74:$Q$77,$Q17,U$10), ")")</f>
        <v>(10:25-11:35)</v>
      </c>
      <c r="V21" s="231" t="str">
        <f>CONCATENATE("(", INDEX(Setup!$K$74:$Q$77,$Q17,V$10), ")")</f>
        <v>(9:55-11:05)</v>
      </c>
      <c r="W21" s="232" t="str">
        <f t="shared" ref="W21:W23" si="4">AB17&amp;CHAR(10)&amp;R21</f>
        <v>Math
(9:55-11:05)</v>
      </c>
      <c r="X21" s="232" t="str">
        <f t="shared" ref="X21:X23" si="5">AC17&amp;CHAR(10)&amp;S21</f>
        <v>Orchestra
(9:55-11:05)</v>
      </c>
      <c r="Y21" s="232" t="str">
        <f t="shared" ref="Y21:Y23" si="6">AD17&amp;CHAR(10)&amp;T21</f>
        <v>Physics
(10:25-11:35)</v>
      </c>
      <c r="Z21" s="232" t="str">
        <f t="shared" ref="Z21:Z23" si="7">AE17&amp;CHAR(10)&amp;U21</f>
        <v>Physics
(10:25-11:35)</v>
      </c>
      <c r="AA21" s="232" t="str">
        <f t="shared" ref="AA21:AA23" si="8">AF17&amp;CHAR(10)&amp;V21</f>
        <v>Bible
(9:55-11:05)</v>
      </c>
    </row>
    <row r="22" spans="2:32" ht="15.75" thickBot="1">
      <c r="B22" s="58"/>
      <c r="C22" s="233" t="s">
        <v>108</v>
      </c>
      <c r="D22" s="308"/>
      <c r="E22" s="311"/>
      <c r="F22" s="295"/>
      <c r="G22" s="298"/>
      <c r="H22" s="292"/>
      <c r="I22" s="59"/>
      <c r="Q22" s="230"/>
      <c r="R22" s="231" t="str">
        <f>CONCATENATE("(", INDEX(Setup!$K$74:$Q$77,$Q18,R$10), ")")</f>
        <v>(11:05-1:10)</v>
      </c>
      <c r="S22" s="231" t="str">
        <f>CONCATENATE("(", INDEX(Setup!$K$74:$Q$77,$Q18,S$10), ")")</f>
        <v>(11:05-1:10)</v>
      </c>
      <c r="T22" s="231" t="str">
        <f>CONCATENATE("(", INDEX(Setup!$K$74:$Q$77,$Q18,T$10), ")")</f>
        <v>(11:35-1:40)</v>
      </c>
      <c r="U22" s="231" t="str">
        <f>CONCATENATE("(", INDEX(Setup!$K$74:$Q$77,$Q18,U$10), ")")</f>
        <v>(11:35-1:40)</v>
      </c>
      <c r="V22" s="231" t="str">
        <f>CONCATENATE("(", INDEX(Setup!$K$74:$Q$77,$Q18,V$10), ")")</f>
        <v>(11:05-1:10)</v>
      </c>
      <c r="W22" s="232" t="str">
        <f t="shared" si="4"/>
        <v>Physics
and Lunch
(11:05-1:10)</v>
      </c>
      <c r="X22" s="232" t="str">
        <f t="shared" si="5"/>
        <v>Physics
and Lunch
(11:05-1:10)</v>
      </c>
      <c r="Y22" s="232" t="str">
        <f t="shared" si="6"/>
        <v>Bible
and Lunch
(11:35-1:40)</v>
      </c>
      <c r="Z22" s="232" t="str">
        <f t="shared" si="7"/>
        <v>History
and Lunch
(11:35-1:40)</v>
      </c>
      <c r="AA22" s="232" t="str">
        <f t="shared" si="8"/>
        <v>English
and Lunch
(11:05-1:10)</v>
      </c>
    </row>
    <row r="23" spans="2:32">
      <c r="B23" s="58"/>
      <c r="C23" s="222" t="s">
        <v>109</v>
      </c>
      <c r="D23" s="309"/>
      <c r="E23" s="312"/>
      <c r="F23" s="295"/>
      <c r="G23" s="298"/>
      <c r="H23" s="293"/>
      <c r="I23" s="59"/>
      <c r="Q23" s="230"/>
      <c r="R23" s="231" t="str">
        <f>CONCATENATE("(", INDEX(Setup!$K$74:$Q$77,$Q19,R$10), ")")</f>
        <v>(1:50-3:00)</v>
      </c>
      <c r="S23" s="231" t="str">
        <f>CONCATENATE("(", INDEX(Setup!$K$74:$Q$77,$Q19,S$10), ")")</f>
        <v>(1:50-3:00)</v>
      </c>
      <c r="T23" s="231" t="str">
        <f>CONCATENATE("(", INDEX(Setup!$K$74:$Q$77,$Q19,T$10), ")")</f>
        <v>(1:50-3:00)</v>
      </c>
      <c r="U23" s="231" t="str">
        <f>CONCATENATE("(", INDEX(Setup!$K$74:$Q$77,$Q19,U$10), ")")</f>
        <v>(1:50-3:00)</v>
      </c>
      <c r="V23" s="231" t="str">
        <f>CONCATENATE("(", INDEX(Setup!$K$74:$Q$77,$Q19,V$10), ")")</f>
        <v>(1:20-2:30)</v>
      </c>
      <c r="W23" s="232" t="str">
        <f t="shared" si="4"/>
        <v>Bible
(1:50-3:00)</v>
      </c>
      <c r="X23" s="232" t="str">
        <f t="shared" si="5"/>
        <v>History
(1:50-3:00)</v>
      </c>
      <c r="Y23" s="232" t="str">
        <f t="shared" si="6"/>
        <v>English
(1:50-3:00)</v>
      </c>
      <c r="Z23" s="232" t="str">
        <f t="shared" si="7"/>
        <v>Math
(1:50-3:00)</v>
      </c>
      <c r="AA23" s="232" t="str">
        <f t="shared" si="8"/>
        <v>Orchestra
(1:20-2:30)</v>
      </c>
    </row>
    <row r="24" spans="2:32" ht="15" customHeight="1">
      <c r="B24" s="58"/>
      <c r="C24" s="214" t="s">
        <v>110</v>
      </c>
      <c r="D24" s="300" t="s">
        <v>111</v>
      </c>
      <c r="E24" s="303" t="s">
        <v>112</v>
      </c>
      <c r="F24" s="295"/>
      <c r="G24" s="298"/>
      <c r="H24" s="221" t="s">
        <v>11</v>
      </c>
      <c r="I24" s="59"/>
    </row>
    <row r="25" spans="2:32" ht="15" customHeight="1">
      <c r="B25" s="58"/>
      <c r="C25" s="214" t="s">
        <v>113</v>
      </c>
      <c r="D25" s="301"/>
      <c r="E25" s="304"/>
      <c r="F25" s="296"/>
      <c r="G25" s="299"/>
      <c r="H25" s="291" t="str">
        <f>AA23</f>
        <v>Orchestra
(1:20-2:30)</v>
      </c>
      <c r="I25" s="59"/>
    </row>
    <row r="26" spans="2:32">
      <c r="B26" s="58"/>
      <c r="C26" s="214" t="s">
        <v>114</v>
      </c>
      <c r="D26" s="302"/>
      <c r="E26" s="305"/>
      <c r="F26" s="228" t="s">
        <v>11</v>
      </c>
      <c r="G26" s="234" t="s">
        <v>11</v>
      </c>
      <c r="H26" s="292"/>
      <c r="I26" s="59"/>
      <c r="Q26" s="225">
        <v>1</v>
      </c>
      <c r="R26" s="226">
        <f>INDEX(Setup!$K$88:$Q$91, $Q26, Weekly!R$13)</f>
        <v>1</v>
      </c>
      <c r="S26" s="226">
        <f>INDEX(Setup!$K$88:$Q$91, $Q26, Weekly!S$13)</f>
        <v>5</v>
      </c>
      <c r="T26" s="226">
        <f>INDEX(Setup!$K$88:$Q$91, $Q26, Weekly!T$13)</f>
        <v>2</v>
      </c>
      <c r="U26" s="226">
        <f>INDEX(Setup!$K$88:$Q$91, $Q26, Weekly!U$13)</f>
        <v>6</v>
      </c>
      <c r="V26" s="226">
        <f>INDEX(Setup!$K$88:$Q$91, $Q26, Weekly!V$13)</f>
        <v>3</v>
      </c>
    </row>
    <row r="27" spans="2:32" ht="15.75" customHeight="1" thickBot="1">
      <c r="B27" s="58"/>
      <c r="C27" s="219" t="s">
        <v>115</v>
      </c>
      <c r="D27" s="307" t="str">
        <f>W23</f>
        <v>Bible
(1:50-3:00)</v>
      </c>
      <c r="E27" s="310" t="str">
        <f>X23</f>
        <v>History
(1:50-3:00)</v>
      </c>
      <c r="F27" s="313" t="str">
        <f>Y23</f>
        <v>English
(1:50-3:00)</v>
      </c>
      <c r="G27" s="316" t="str">
        <f>Z23</f>
        <v>Math
(1:50-3:00)</v>
      </c>
      <c r="H27" s="292"/>
      <c r="I27" s="59"/>
      <c r="Q27" s="225">
        <v>2</v>
      </c>
      <c r="R27" s="226">
        <f>INDEX(Setup!$K$88:$Q$91, $Q27, Weekly!R$13)</f>
        <v>2</v>
      </c>
      <c r="S27" s="226">
        <f>INDEX(Setup!$K$88:$Q$91, $Q27, Weekly!S$13)</f>
        <v>6</v>
      </c>
      <c r="T27" s="226">
        <f>INDEX(Setup!$K$88:$Q$91, $Q27, Weekly!T$13)</f>
        <v>3</v>
      </c>
      <c r="U27" s="226">
        <f>INDEX(Setup!$K$88:$Q$91, $Q27, Weekly!U$13)</f>
        <v>7</v>
      </c>
      <c r="V27" s="226">
        <f>INDEX(Setup!$K$88:$Q$91, $Q27, Weekly!V$13)</f>
        <v>4</v>
      </c>
    </row>
    <row r="28" spans="2:32" ht="15.75" thickBot="1">
      <c r="B28" s="58"/>
      <c r="C28" s="222" t="s">
        <v>116</v>
      </c>
      <c r="D28" s="308"/>
      <c r="E28" s="311"/>
      <c r="F28" s="314"/>
      <c r="G28" s="316"/>
      <c r="H28" s="306"/>
      <c r="I28" s="59"/>
      <c r="Q28" s="225">
        <v>3</v>
      </c>
      <c r="R28" s="226">
        <f>INDEX(Setup!$K$88:$Q$91, $Q28, Weekly!R$13)</f>
        <v>3</v>
      </c>
      <c r="S28" s="226">
        <f>INDEX(Setup!$K$88:$Q$91, $Q28, Weekly!S$13)</f>
        <v>7</v>
      </c>
      <c r="T28" s="226">
        <f>INDEX(Setup!$K$88:$Q$91, $Q28, Weekly!T$13)</f>
        <v>4</v>
      </c>
      <c r="U28" s="226">
        <f>INDEX(Setup!$K$88:$Q$91, $Q28, Weekly!U$13)</f>
        <v>1</v>
      </c>
      <c r="V28" s="226">
        <f>INDEX(Setup!$K$88:$Q$91, $Q28, Weekly!V$13)</f>
        <v>5</v>
      </c>
    </row>
    <row r="29" spans="2:32" ht="15.75" thickBot="1">
      <c r="B29" s="58"/>
      <c r="C29" s="219" t="s">
        <v>117</v>
      </c>
      <c r="D29" s="309"/>
      <c r="E29" s="312"/>
      <c r="F29" s="315"/>
      <c r="G29" s="317"/>
      <c r="H29" s="235"/>
      <c r="I29" s="59"/>
      <c r="Q29" s="225">
        <v>4</v>
      </c>
      <c r="R29" s="226">
        <f>INDEX(Setup!$K$88:$Q$91, $Q29, Weekly!R$13)</f>
        <v>4</v>
      </c>
      <c r="S29" s="226">
        <f>INDEX(Setup!$K$88:$Q$91, $Q29, Weekly!S$13)</f>
        <v>1</v>
      </c>
      <c r="T29" s="226">
        <f>INDEX(Setup!$K$88:$Q$91, $Q29, Weekly!T$13)</f>
        <v>5</v>
      </c>
      <c r="U29" s="226">
        <f>INDEX(Setup!$K$88:$Q$91, $Q29, Weekly!U$13)</f>
        <v>2</v>
      </c>
      <c r="V29" s="226">
        <f>INDEX(Setup!$K$88:$Q$91, $Q29, Weekly!V$13)</f>
        <v>6</v>
      </c>
    </row>
    <row r="30" spans="2:32" ht="51" customHeight="1" thickBot="1">
      <c r="B30" s="58"/>
      <c r="C30" s="236" t="s">
        <v>118</v>
      </c>
      <c r="D30" s="237" t="s">
        <v>119</v>
      </c>
      <c r="E30" s="237" t="s">
        <v>119</v>
      </c>
      <c r="F30" s="238" t="s">
        <v>119</v>
      </c>
      <c r="G30" s="239" t="s">
        <v>119</v>
      </c>
      <c r="H30" s="240"/>
      <c r="I30" s="59"/>
    </row>
    <row r="31" spans="2:32" ht="15" customHeight="1">
      <c r="B31" s="58"/>
      <c r="C31" s="241"/>
      <c r="D31" s="242"/>
      <c r="E31" s="242"/>
      <c r="F31" s="242"/>
      <c r="G31" s="242"/>
      <c r="H31" s="240"/>
      <c r="I31" s="59"/>
    </row>
    <row r="32" spans="2:32" ht="15.75" thickBot="1">
      <c r="B32" s="64"/>
      <c r="C32" s="28"/>
      <c r="D32" s="28"/>
      <c r="E32" s="28"/>
      <c r="F32" s="28"/>
      <c r="G32" s="28"/>
      <c r="H32" s="28"/>
      <c r="I32" s="65"/>
    </row>
  </sheetData>
  <sheetProtection password="C836" sheet="1" objects="1" scenarios="1"/>
  <mergeCells count="29">
    <mergeCell ref="E10:E11"/>
    <mergeCell ref="F10:F12"/>
    <mergeCell ref="G10:G11"/>
    <mergeCell ref="D12:D13"/>
    <mergeCell ref="E12:E13"/>
    <mergeCell ref="G12:G13"/>
    <mergeCell ref="D15:D19"/>
    <mergeCell ref="E15:E19"/>
    <mergeCell ref="H15:H19"/>
    <mergeCell ref="F18:F20"/>
    <mergeCell ref="G18:G20"/>
    <mergeCell ref="D20:D23"/>
    <mergeCell ref="E20:E23"/>
    <mergeCell ref="B2:I2"/>
    <mergeCell ref="C5:H5"/>
    <mergeCell ref="C4:H4"/>
    <mergeCell ref="H20:H23"/>
    <mergeCell ref="F21:F25"/>
    <mergeCell ref="G21:G25"/>
    <mergeCell ref="D24:D26"/>
    <mergeCell ref="E24:E26"/>
    <mergeCell ref="H25:H28"/>
    <mergeCell ref="D27:D29"/>
    <mergeCell ref="E27:E29"/>
    <mergeCell ref="F27:F29"/>
    <mergeCell ref="G27:G29"/>
    <mergeCell ref="H12:H13"/>
    <mergeCell ref="F13:F16"/>
    <mergeCell ref="G14:G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zoomScaleNormal="100" workbookViewId="0">
      <selection activeCell="E6" sqref="E6:K6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3" t="s">
        <v>64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4.95" customHeight="1">
      <c r="C6" s="58"/>
      <c r="D6" s="82"/>
      <c r="E6" s="325" t="s">
        <v>62</v>
      </c>
      <c r="F6" s="325"/>
      <c r="G6" s="325"/>
      <c r="H6" s="325"/>
      <c r="I6" s="325"/>
      <c r="J6" s="325"/>
      <c r="K6" s="325"/>
      <c r="L6" s="83"/>
      <c r="M6" s="59"/>
    </row>
    <row r="7" spans="3:13" ht="15" customHeight="1">
      <c r="C7" s="58"/>
      <c r="D7" s="82"/>
      <c r="E7" s="246" t="s">
        <v>68</v>
      </c>
      <c r="F7" s="326"/>
      <c r="G7" s="326"/>
      <c r="H7" s="326"/>
      <c r="I7" s="326"/>
      <c r="J7" s="326"/>
      <c r="K7" s="326"/>
      <c r="L7" s="83"/>
      <c r="M7" s="59"/>
    </row>
    <row r="8" spans="3:13" ht="15" customHeight="1">
      <c r="C8" s="58"/>
      <c r="D8" s="82"/>
      <c r="E8" s="326"/>
      <c r="F8" s="326"/>
      <c r="G8" s="326"/>
      <c r="H8" s="326"/>
      <c r="I8" s="326"/>
      <c r="J8" s="326"/>
      <c r="K8" s="326"/>
      <c r="L8" s="83"/>
      <c r="M8" s="59"/>
    </row>
    <row r="9" spans="3:13" ht="15" customHeight="1">
      <c r="C9" s="58"/>
      <c r="D9" s="82"/>
      <c r="E9" s="326"/>
      <c r="F9" s="326"/>
      <c r="G9" s="326"/>
      <c r="H9" s="326"/>
      <c r="I9" s="326"/>
      <c r="J9" s="326"/>
      <c r="K9" s="326"/>
      <c r="L9" s="83"/>
      <c r="M9" s="59"/>
    </row>
    <row r="10" spans="3:13" ht="15" customHeight="1">
      <c r="C10" s="58"/>
      <c r="D10" s="82"/>
      <c r="E10" s="326"/>
      <c r="F10" s="326"/>
      <c r="G10" s="326"/>
      <c r="H10" s="326"/>
      <c r="I10" s="326"/>
      <c r="J10" s="326"/>
      <c r="K10" s="326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4.95" customHeight="1">
      <c r="C14" s="58"/>
      <c r="D14" s="82"/>
      <c r="E14" s="325" t="s">
        <v>66</v>
      </c>
      <c r="F14" s="325"/>
      <c r="G14" s="325"/>
      <c r="H14" s="325"/>
      <c r="I14" s="325"/>
      <c r="J14" s="325"/>
      <c r="K14" s="325"/>
      <c r="L14" s="83"/>
      <c r="M14" s="59"/>
    </row>
    <row r="15" spans="3:13" ht="15" customHeight="1">
      <c r="C15" s="58"/>
      <c r="D15" s="82"/>
      <c r="E15" s="328" t="s">
        <v>69</v>
      </c>
      <c r="F15" s="328"/>
      <c r="G15" s="328"/>
      <c r="H15" s="328"/>
      <c r="I15" s="328"/>
      <c r="J15" s="328"/>
      <c r="K15" s="328"/>
      <c r="L15" s="83"/>
      <c r="M15" s="59"/>
    </row>
    <row r="16" spans="3:13" ht="15" customHeight="1">
      <c r="C16" s="58"/>
      <c r="D16" s="82"/>
      <c r="E16" s="328"/>
      <c r="F16" s="328"/>
      <c r="G16" s="328"/>
      <c r="H16" s="328"/>
      <c r="I16" s="328"/>
      <c r="J16" s="328"/>
      <c r="K16" s="328"/>
      <c r="L16" s="83"/>
      <c r="M16" s="59"/>
    </row>
    <row r="17" spans="3:13" ht="15" customHeight="1">
      <c r="C17" s="58"/>
      <c r="D17" s="82"/>
      <c r="E17" s="328"/>
      <c r="F17" s="328"/>
      <c r="G17" s="328"/>
      <c r="H17" s="328"/>
      <c r="I17" s="328"/>
      <c r="J17" s="328"/>
      <c r="K17" s="328"/>
      <c r="L17" s="83"/>
      <c r="M17" s="59"/>
    </row>
    <row r="18" spans="3:13" ht="15" customHeight="1">
      <c r="C18" s="58"/>
      <c r="D18" s="82"/>
      <c r="E18" s="328"/>
      <c r="F18" s="328"/>
      <c r="G18" s="328"/>
      <c r="H18" s="328"/>
      <c r="I18" s="328"/>
      <c r="J18" s="328"/>
      <c r="K18" s="328"/>
      <c r="L18" s="83"/>
      <c r="M18" s="59"/>
    </row>
    <row r="19" spans="3:13" ht="15.75" customHeight="1">
      <c r="C19" s="58"/>
      <c r="D19" s="82"/>
      <c r="E19" s="328"/>
      <c r="F19" s="328"/>
      <c r="G19" s="328"/>
      <c r="H19" s="328"/>
      <c r="I19" s="328"/>
      <c r="J19" s="328"/>
      <c r="K19" s="328"/>
      <c r="L19" s="83"/>
      <c r="M19" s="59"/>
    </row>
    <row r="20" spans="3:13" ht="15.7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.7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.25">
      <c r="C23" s="58"/>
      <c r="D23" s="82"/>
      <c r="E23" s="325" t="s">
        <v>63</v>
      </c>
      <c r="F23" s="325"/>
      <c r="G23" s="325"/>
      <c r="H23" s="325"/>
      <c r="I23" s="325"/>
      <c r="J23" s="325"/>
      <c r="K23" s="325"/>
      <c r="L23" s="83"/>
      <c r="M23" s="59"/>
    </row>
    <row r="24" spans="3:13">
      <c r="C24" s="58"/>
      <c r="D24" s="82"/>
      <c r="E24" s="246" t="s">
        <v>78</v>
      </c>
      <c r="F24" s="326"/>
      <c r="G24" s="326"/>
      <c r="H24" s="326"/>
      <c r="I24" s="326"/>
      <c r="J24" s="326"/>
      <c r="K24" s="326"/>
      <c r="L24" s="83"/>
      <c r="M24" s="59"/>
    </row>
    <row r="25" spans="3:13">
      <c r="C25" s="58"/>
      <c r="D25" s="82"/>
      <c r="E25" s="326"/>
      <c r="F25" s="326"/>
      <c r="G25" s="326"/>
      <c r="H25" s="326"/>
      <c r="I25" s="326"/>
      <c r="J25" s="326"/>
      <c r="K25" s="326"/>
      <c r="L25" s="83"/>
      <c r="M25" s="59"/>
    </row>
    <row r="26" spans="3:13">
      <c r="C26" s="58"/>
      <c r="D26" s="82"/>
      <c r="E26" s="326"/>
      <c r="F26" s="326"/>
      <c r="G26" s="326"/>
      <c r="H26" s="326"/>
      <c r="I26" s="326"/>
      <c r="J26" s="326"/>
      <c r="K26" s="326"/>
      <c r="L26" s="83"/>
      <c r="M26" s="59"/>
    </row>
    <row r="27" spans="3:13">
      <c r="C27" s="58"/>
      <c r="D27" s="82"/>
      <c r="E27" s="326"/>
      <c r="F27" s="326"/>
      <c r="G27" s="326"/>
      <c r="H27" s="326"/>
      <c r="I27" s="326"/>
      <c r="J27" s="326"/>
      <c r="K27" s="326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.7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.25">
      <c r="C31" s="58"/>
      <c r="D31" s="82"/>
      <c r="E31" s="325" t="s">
        <v>70</v>
      </c>
      <c r="F31" s="325"/>
      <c r="G31" s="325"/>
      <c r="H31" s="325"/>
      <c r="I31" s="325"/>
      <c r="J31" s="325"/>
      <c r="K31" s="325"/>
      <c r="L31" s="83"/>
      <c r="M31" s="59"/>
    </row>
    <row r="32" spans="3:13" ht="15" customHeight="1">
      <c r="C32" s="58"/>
      <c r="D32" s="82"/>
      <c r="E32" s="246" t="s">
        <v>71</v>
      </c>
      <c r="F32" s="246"/>
      <c r="G32" s="246"/>
      <c r="H32" s="246"/>
      <c r="I32" s="246"/>
      <c r="J32" s="246"/>
      <c r="K32" s="246"/>
      <c r="L32" s="93"/>
      <c r="M32" s="59"/>
    </row>
    <row r="33" spans="3:13" ht="15" customHeight="1">
      <c r="C33" s="58"/>
      <c r="D33" s="82"/>
      <c r="E33" s="246"/>
      <c r="F33" s="246"/>
      <c r="G33" s="246"/>
      <c r="H33" s="246"/>
      <c r="I33" s="246"/>
      <c r="J33" s="246"/>
      <c r="K33" s="246"/>
      <c r="L33" s="93"/>
      <c r="M33" s="59"/>
    </row>
    <row r="34" spans="3:13" ht="15" customHeight="1">
      <c r="C34" s="58"/>
      <c r="D34" s="82"/>
      <c r="E34" s="246"/>
      <c r="F34" s="246"/>
      <c r="G34" s="246"/>
      <c r="H34" s="246"/>
      <c r="I34" s="246"/>
      <c r="J34" s="246"/>
      <c r="K34" s="246"/>
      <c r="L34" s="93"/>
      <c r="M34" s="59"/>
    </row>
    <row r="35" spans="3:13" ht="15" customHeight="1">
      <c r="C35" s="58"/>
      <c r="D35" s="82"/>
      <c r="E35" s="246"/>
      <c r="F35" s="246"/>
      <c r="G35" s="246"/>
      <c r="H35" s="246"/>
      <c r="I35" s="246"/>
      <c r="J35" s="246"/>
      <c r="K35" s="246"/>
      <c r="L35" s="93"/>
      <c r="M35" s="59"/>
    </row>
    <row r="36" spans="3:13" ht="15.75" customHeight="1">
      <c r="C36" s="58"/>
      <c r="D36" s="82"/>
      <c r="E36" s="246"/>
      <c r="F36" s="246"/>
      <c r="G36" s="246"/>
      <c r="H36" s="246"/>
      <c r="I36" s="246"/>
      <c r="J36" s="246"/>
      <c r="K36" s="246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.7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.25">
      <c r="C40" s="58"/>
      <c r="D40" s="82"/>
      <c r="E40" s="325" t="s">
        <v>65</v>
      </c>
      <c r="F40" s="325"/>
      <c r="G40" s="325"/>
      <c r="H40" s="325"/>
      <c r="I40" s="325"/>
      <c r="J40" s="325"/>
      <c r="K40" s="325"/>
      <c r="L40" s="83"/>
      <c r="M40" s="59"/>
    </row>
    <row r="41" spans="3:13">
      <c r="C41" s="58"/>
      <c r="D41" s="82"/>
      <c r="E41" s="327" t="s">
        <v>67</v>
      </c>
      <c r="F41" s="327"/>
      <c r="G41" s="327"/>
      <c r="H41" s="327"/>
      <c r="I41" s="327"/>
      <c r="J41" s="327"/>
      <c r="K41" s="327"/>
      <c r="L41" s="83"/>
      <c r="M41" s="59"/>
    </row>
    <row r="42" spans="3:13">
      <c r="C42" s="58"/>
      <c r="D42" s="82"/>
      <c r="E42" s="327"/>
      <c r="F42" s="327"/>
      <c r="G42" s="327"/>
      <c r="H42" s="327"/>
      <c r="I42" s="327"/>
      <c r="J42" s="327"/>
      <c r="K42" s="327"/>
      <c r="L42" s="83"/>
      <c r="M42" s="59"/>
    </row>
    <row r="43" spans="3:13">
      <c r="C43" s="58"/>
      <c r="D43" s="82"/>
      <c r="E43" s="327"/>
      <c r="F43" s="327"/>
      <c r="G43" s="327"/>
      <c r="H43" s="327"/>
      <c r="I43" s="327"/>
      <c r="J43" s="327"/>
      <c r="K43" s="327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.7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2013-08-28T22:29:44Z</dcterms:modified>
</cp:coreProperties>
</file>