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Help" sheetId="4" r:id="rId4"/>
  </sheets>
  <calcPr calcId="125725"/>
</workbook>
</file>

<file path=xl/calcChain.xml><?xml version="1.0" encoding="utf-8"?>
<calcChain xmlns="http://schemas.openxmlformats.org/spreadsheetml/2006/main">
  <c r="J41" i="2"/>
  <c r="J42" s="1"/>
  <c r="J43" s="1"/>
  <c r="J44" s="1"/>
  <c r="J45" s="1"/>
  <c r="J46" s="1"/>
  <c r="J31"/>
  <c r="J32" s="1"/>
  <c r="J33" s="1"/>
  <c r="J34" s="1"/>
  <c r="J35" s="1"/>
  <c r="J36" s="1"/>
  <c r="J21"/>
  <c r="J22" s="1"/>
  <c r="J23" s="1"/>
  <c r="J24" s="1"/>
  <c r="J25" s="1"/>
  <c r="J26" s="1"/>
  <c r="L87"/>
  <c r="M87"/>
  <c r="N87"/>
  <c r="O87"/>
  <c r="P87"/>
  <c r="Q87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K88"/>
  <c r="K89"/>
  <c r="K90"/>
  <c r="K87"/>
  <c r="J10"/>
  <c r="J11" s="1"/>
  <c r="J12" s="1"/>
  <c r="J13" s="1"/>
  <c r="J14" s="1"/>
  <c r="J15" s="1"/>
  <c r="D26" i="3"/>
  <c r="K8" l="1"/>
  <c r="D28"/>
  <c r="I8"/>
  <c r="I14" s="1"/>
  <c r="J14" s="1"/>
  <c r="I10" l="1"/>
  <c r="J10" s="1"/>
  <c r="K16"/>
  <c r="K10"/>
  <c r="K15"/>
  <c r="K12"/>
  <c r="K13"/>
  <c r="K17"/>
  <c r="K11"/>
  <c r="K14"/>
  <c r="I11"/>
  <c r="J11" s="1"/>
  <c r="I16"/>
  <c r="J16" s="1"/>
  <c r="I13"/>
  <c r="J13" s="1"/>
  <c r="H8"/>
  <c r="J8"/>
  <c r="I15"/>
  <c r="J15" s="1"/>
  <c r="I12"/>
  <c r="J12" s="1"/>
  <c r="I17"/>
  <c r="J17" s="1"/>
  <c r="D11" i="2"/>
  <c r="D12" s="1"/>
  <c r="D13" s="1"/>
  <c r="D14" s="1"/>
  <c r="D15" s="1"/>
  <c r="D16" s="1"/>
  <c r="D17" s="1"/>
  <c r="D18" s="1"/>
  <c r="D19" s="1"/>
  <c r="D20" s="1"/>
  <c r="D21" s="1"/>
  <c r="D22" s="1"/>
  <c r="D23" s="1"/>
  <c r="D24" s="1"/>
</calcChain>
</file>

<file path=xl/sharedStrings.xml><?xml version="1.0" encoding="utf-8"?>
<sst xmlns="http://schemas.openxmlformats.org/spreadsheetml/2006/main" count="163" uniqueCount="88">
  <si>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</si>
  <si>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</si>
  <si>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</si>
  <si>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</si>
  <si>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</si>
  <si>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</si>
  <si>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</si>
  <si>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</si>
  <si>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</si>
  <si>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</si>
  <si>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Free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</si>
  <si>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</si>
  <si>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</si>
  <si>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</si>
  <si>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</si>
  <si>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</si>
  <si>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</si>
  <si>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</si>
  <si>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</si>
  <si>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</si>
  <si>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</si>
  <si>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</si>
  <si>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</si>
  <si>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</si>
  <si>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</si>
  <si>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</si>
  <si>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</si>
  <si>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</si>
  <si>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</si>
  <si>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</si>
  <si>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</si>
  <si>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</si>
  <si>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</si>
  <si>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</si>
  <si>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</si>
  <si>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</si>
  <si>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</si>
  <si>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</si>
  <si>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</si>
  <si>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</si>
  <si>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</si>
  <si>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</si>
  <si>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</si>
  <si>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</si>
  <si>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</si>
  <si>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</si>
  <si>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</si>
  <si>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</si>
  <si>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</si>
  <si>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</si>
  <si>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</si>
  <si>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</si>
  <si>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</si>
  <si>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</si>
  <si>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</si>
  <si>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</si>
  <si>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</si>
  <si>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</si>
  <si>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</si>
  <si>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</si>
  <si>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</si>
  <si>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2. Check out your results here!</t>
  </si>
  <si>
    <t>Non-Sched. Days</t>
  </si>
  <si>
    <t>1. Put in the latest Past "A" Day below. Then put in a "Date to Schedule".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</si>
  <si>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</si>
  <si>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</si>
  <si>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</si>
  <si>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</si>
  <si>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</si>
  <si>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</si>
  <si>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</si>
  <si>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</si>
  <si>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</si>
  <si>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</si>
  <si>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</si>
  <si>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</si>
  <si>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</si>
  <si>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</si>
  <si>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Fig. 2: Free Matrix</t>
  </si>
  <si>
    <t>Fig 2.1 (Example: 5th Free)</t>
  </si>
  <si>
    <t>Fig 2.2 (Example: 7th Lab Free on B and F Days)</t>
  </si>
  <si>
    <t>Fig 2.3 (Example: 5th Free &amp; 7th Lab Free on B and F)</t>
  </si>
  <si>
    <t>3. Put any non-scheduled days below. The dates of breaks and exams from the school calendar are implemented internally.</t>
  </si>
  <si>
    <t>Setup</t>
  </si>
  <si>
    <t>2. Clear Fig. 2 (or press CLEAR). Place an "x" on the blocks (Letter Day, Period Number) that you have a free. Do not place an "x" in the gray boxes. See Fig 2.1 thru Fig 2.3 for examples.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</si>
  <si>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</si>
  <si>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t>1. Fill out your course names below in the blue (periods 1-7).</t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</si>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</sst>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0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6" borderId="21" xfId="0" applyFill="1" applyBorder="1" applyAlignment="1" applyProtection="1"/>
    <xf numFmtId="0" fontId="0" fillId="6" borderId="22" xfId="0" applyFill="1" applyBorder="1" applyAlignment="1" applyProtection="1"/>
    <xf numFmtId="0" fontId="0" fillId="6" borderId="23" xfId="0" applyFill="1" applyBorder="1" applyAlignment="1" applyProtection="1"/>
    <xf numFmtId="0" fontId="0" fillId="7" borderId="21" xfId="0" applyFill="1" applyBorder="1" applyAlignment="1" applyProtection="1"/>
    <xf numFmtId="0" fontId="0" fillId="7" borderId="22" xfId="0" applyFill="1" applyBorder="1" applyAlignment="1" applyProtection="1"/>
    <xf numFmtId="0" fontId="2" fillId="7" borderId="22" xfId="0" applyFont="1" applyFill="1" applyBorder="1" applyAlignment="1" applyProtection="1"/>
    <xf numFmtId="0" fontId="0" fillId="7" borderId="23" xfId="0" applyFill="1" applyBorder="1" applyAlignment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4" xfId="0" applyFont="1" applyFill="1" applyBorder="1" applyAlignment="1" applyProtection="1"/>
    <xf numFmtId="0" fontId="2" fillId="6" borderId="24" xfId="0" applyFont="1" applyFill="1" applyBorder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6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0" fillId="11" borderId="9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0" fontId="0" fillId="16" borderId="0" xfId="0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0" fontId="0" fillId="9" borderId="34" xfId="0" applyFill="1" applyBorder="1" applyProtection="1"/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0" fillId="8" borderId="21" xfId="0" applyFill="1" applyBorder="1" applyAlignment="1" applyProtection="1">
      <alignment horizontal="left" vertical="center" wrapText="1" indent="1"/>
    </xf>
    <xf numFmtId="0" fontId="0" fillId="0" borderId="22" xfId="0" applyBorder="1" applyAlignment="1" applyProtection="1">
      <alignment horizontal="left" indent="1"/>
    </xf>
    <xf numFmtId="0" fontId="0" fillId="0" borderId="23" xfId="0" applyBorder="1" applyAlignment="1" applyProtection="1">
      <alignment horizontal="left" indent="1"/>
    </xf>
    <xf numFmtId="0" fontId="0" fillId="0" borderId="26" xfId="0" applyBorder="1" applyAlignment="1" applyProtection="1">
      <alignment horizontal="left" indent="1"/>
    </xf>
    <xf numFmtId="0" fontId="0" fillId="0" borderId="27" xfId="0" applyBorder="1" applyAlignment="1" applyProtection="1">
      <alignment horizontal="left" indent="1"/>
    </xf>
    <xf numFmtId="0" fontId="0" fillId="0" borderId="28" xfId="0" applyBorder="1" applyAlignment="1" applyProtection="1">
      <alignment horizontal="left" indent="1"/>
    </xf>
    <xf numFmtId="0" fontId="0" fillId="8" borderId="21" xfId="0" applyFill="1" applyBorder="1" applyAlignment="1" applyProtection="1">
      <alignment horizontal="center" vertical="top" wrapText="1"/>
    </xf>
    <xf numFmtId="0" fontId="0" fillId="8" borderId="22" xfId="0" applyFill="1" applyBorder="1" applyAlignment="1" applyProtection="1">
      <alignment horizontal="center" vertical="top" wrapText="1"/>
    </xf>
    <xf numFmtId="0" fontId="0" fillId="8" borderId="23" xfId="0" applyFill="1" applyBorder="1" applyAlignment="1" applyProtection="1">
      <alignment horizontal="center" vertical="top" wrapText="1"/>
    </xf>
    <xf numFmtId="0" fontId="0" fillId="8" borderId="26" xfId="0" applyFill="1" applyBorder="1" applyAlignment="1" applyProtection="1">
      <alignment horizontal="center" vertical="top" wrapText="1"/>
    </xf>
    <xf numFmtId="0" fontId="0" fillId="8" borderId="27" xfId="0" applyFill="1" applyBorder="1" applyAlignment="1" applyProtection="1">
      <alignment horizontal="center" vertical="top" wrapText="1"/>
    </xf>
    <xf numFmtId="0" fontId="0" fillId="8" borderId="28" xfId="0" applyFill="1" applyBorder="1" applyAlignment="1" applyProtection="1">
      <alignment horizontal="center" vertical="top" wrapText="1"/>
    </xf>
    <xf numFmtId="0" fontId="2" fillId="8" borderId="21" xfId="0" applyFont="1" applyFill="1" applyBorder="1" applyAlignment="1" applyProtection="1">
      <alignment horizontal="center" vertical="center"/>
    </xf>
    <xf numFmtId="0" fontId="2" fillId="8" borderId="22" xfId="0" applyFont="1" applyFill="1" applyBorder="1" applyAlignment="1" applyProtection="1">
      <alignment horizontal="center" vertical="center"/>
    </xf>
    <xf numFmtId="0" fontId="2" fillId="8" borderId="23" xfId="0" applyFont="1" applyFill="1" applyBorder="1" applyAlignment="1" applyProtection="1">
      <alignment horizontal="center" vertical="center"/>
    </xf>
    <xf numFmtId="0" fontId="2" fillId="8" borderId="26" xfId="0" applyFont="1" applyFill="1" applyBorder="1" applyAlignment="1" applyProtection="1">
      <alignment horizontal="center" vertical="center"/>
    </xf>
    <xf numFmtId="0" fontId="2" fillId="8" borderId="27" xfId="0" applyFont="1" applyFill="1" applyBorder="1" applyAlignment="1" applyProtection="1">
      <alignment horizontal="center" vertical="center"/>
    </xf>
    <xf numFmtId="0" fontId="2" fillId="8" borderId="28" xfId="0" applyFont="1" applyFill="1" applyBorder="1" applyAlignment="1" applyProtection="1">
      <alignment horizontal="center" vertical="center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B4CBFA"/>
      <color rgb="FFF9F6B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0"/><Relationship Id="rId1" Type="http://schemas.openxmlformats.org/officeDocument/2006/relationships/hyperlink" Target="#Schedule!D1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2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elp!E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9525</xdr:colOff>
      <xdr:row>1</xdr:row>
      <xdr:rowOff>47625</xdr:rowOff>
    </xdr:from>
    <xdr:to>
      <xdr:col>9</xdr:col>
      <xdr:colOff>962025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5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Help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zoomScaleNormal="100" workbookViewId="0">
      <selection activeCell="G17" sqref="G17:I20"/>
    </sheetView>
  </sheetViews>
  <sheetFormatPr defaultRowHeight="15"/>
  <cols>
    <col min="1" max="1" width="8.7109375" style="62" customWidth="1"/>
    <col min="2" max="2" width="35.7109375" style="62" customWidth="1"/>
    <col min="3" max="16384" width="9.140625" style="62"/>
  </cols>
  <sheetData>
    <row r="2" spans="3:13" ht="24.95" customHeight="1" thickBot="1"/>
    <row r="3" spans="3:13" ht="30" customHeight="1" thickBot="1">
      <c r="C3" s="191" t="s">
        <v>64</v>
      </c>
      <c r="D3" s="192"/>
      <c r="E3" s="192"/>
      <c r="F3" s="192"/>
      <c r="G3" s="192"/>
      <c r="H3" s="192"/>
      <c r="I3" s="192"/>
      <c r="J3" s="192"/>
      <c r="K3" s="192"/>
      <c r="L3" s="192"/>
      <c r="M3" s="193"/>
    </row>
    <row r="4" spans="3:13" ht="15.75" thickBot="1">
      <c r="C4" s="86"/>
      <c r="D4" s="87"/>
      <c r="E4" s="87"/>
      <c r="F4" s="87"/>
      <c r="G4" s="87"/>
      <c r="H4" s="87"/>
      <c r="I4" s="87"/>
      <c r="J4" s="87"/>
      <c r="K4" s="87"/>
      <c r="L4" s="87"/>
      <c r="M4" s="88"/>
    </row>
    <row r="5" spans="3:13">
      <c r="C5" s="65"/>
      <c r="D5" s="89"/>
      <c r="E5" s="90"/>
      <c r="F5" s="90"/>
      <c r="G5" s="90"/>
      <c r="H5" s="90"/>
      <c r="I5" s="90"/>
      <c r="J5" s="90"/>
      <c r="K5" s="90"/>
      <c r="L5" s="91"/>
      <c r="M5" s="66"/>
    </row>
    <row r="6" spans="3:13" ht="15.75" customHeight="1">
      <c r="C6" s="65"/>
      <c r="D6" s="92"/>
      <c r="E6" s="194" t="s">
        <v>85</v>
      </c>
      <c r="F6" s="194"/>
      <c r="G6" s="194"/>
      <c r="H6" s="194"/>
      <c r="I6" s="194"/>
      <c r="J6" s="194"/>
      <c r="K6" s="194"/>
      <c r="L6" s="93"/>
      <c r="M6" s="66"/>
    </row>
    <row r="7" spans="3:13" ht="15" customHeight="1">
      <c r="C7" s="65"/>
      <c r="D7" s="92"/>
      <c r="E7" s="194"/>
      <c r="F7" s="194"/>
      <c r="G7" s="194"/>
      <c r="H7" s="194"/>
      <c r="I7" s="194"/>
      <c r="J7" s="194"/>
      <c r="K7" s="194"/>
      <c r="L7" s="93"/>
      <c r="M7" s="66"/>
    </row>
    <row r="8" spans="3:13" ht="15" customHeight="1">
      <c r="C8" s="65"/>
      <c r="D8" s="92"/>
      <c r="E8" s="194"/>
      <c r="F8" s="194"/>
      <c r="G8" s="194"/>
      <c r="H8" s="194"/>
      <c r="I8" s="194"/>
      <c r="J8" s="194"/>
      <c r="K8" s="194"/>
      <c r="L8" s="93"/>
      <c r="M8" s="66"/>
    </row>
    <row r="9" spans="3:13" ht="15" customHeight="1">
      <c r="C9" s="65"/>
      <c r="D9" s="92"/>
      <c r="E9" s="194"/>
      <c r="F9" s="194"/>
      <c r="G9" s="194"/>
      <c r="H9" s="194"/>
      <c r="I9" s="194"/>
      <c r="J9" s="194"/>
      <c r="K9" s="194"/>
      <c r="L9" s="93"/>
      <c r="M9" s="66"/>
    </row>
    <row r="10" spans="3:13" ht="15" customHeight="1">
      <c r="C10" s="65"/>
      <c r="D10" s="92"/>
      <c r="E10" s="194"/>
      <c r="F10" s="194"/>
      <c r="G10" s="194"/>
      <c r="H10" s="194"/>
      <c r="I10" s="194"/>
      <c r="J10" s="194"/>
      <c r="K10" s="194"/>
      <c r="L10" s="93"/>
      <c r="M10" s="66"/>
    </row>
    <row r="11" spans="3:13" ht="15" customHeight="1">
      <c r="C11" s="65"/>
      <c r="D11" s="92"/>
      <c r="E11" s="194"/>
      <c r="F11" s="194"/>
      <c r="G11" s="194"/>
      <c r="H11" s="194"/>
      <c r="I11" s="194"/>
      <c r="J11" s="194"/>
      <c r="K11" s="194"/>
      <c r="L11" s="93"/>
      <c r="M11" s="66"/>
    </row>
    <row r="12" spans="3:13" ht="15" customHeight="1">
      <c r="C12" s="65"/>
      <c r="D12" s="92"/>
      <c r="E12" s="194"/>
      <c r="F12" s="194"/>
      <c r="G12" s="194"/>
      <c r="H12" s="194"/>
      <c r="I12" s="194"/>
      <c r="J12" s="194"/>
      <c r="K12" s="194"/>
      <c r="L12" s="93"/>
      <c r="M12" s="66"/>
    </row>
    <row r="13" spans="3:13" ht="15" customHeight="1">
      <c r="C13" s="65"/>
      <c r="D13" s="92"/>
      <c r="E13" s="194"/>
      <c r="F13" s="194"/>
      <c r="G13" s="194"/>
      <c r="H13" s="194"/>
      <c r="I13" s="194"/>
      <c r="J13" s="194"/>
      <c r="K13" s="194"/>
      <c r="L13" s="93"/>
      <c r="M13" s="66"/>
    </row>
    <row r="14" spans="3:13">
      <c r="C14" s="65"/>
      <c r="D14" s="92"/>
      <c r="E14" s="194"/>
      <c r="F14" s="194"/>
      <c r="G14" s="194"/>
      <c r="H14" s="194"/>
      <c r="I14" s="194"/>
      <c r="J14" s="194"/>
      <c r="K14" s="194"/>
      <c r="L14" s="93"/>
      <c r="M14" s="66"/>
    </row>
    <row r="15" spans="3:13" ht="15.75" thickBot="1">
      <c r="C15" s="65"/>
      <c r="D15" s="94"/>
      <c r="E15" s="95"/>
      <c r="F15" s="95"/>
      <c r="G15" s="95"/>
      <c r="H15" s="95"/>
      <c r="I15" s="95"/>
      <c r="J15" s="95"/>
      <c r="K15" s="95"/>
      <c r="L15" s="96"/>
      <c r="M15" s="66"/>
    </row>
    <row r="16" spans="3:13">
      <c r="C16" s="65"/>
      <c r="D16" s="27"/>
      <c r="E16" s="27"/>
      <c r="F16" s="27"/>
      <c r="G16" s="27"/>
      <c r="H16" s="27"/>
      <c r="I16" s="27"/>
      <c r="J16" s="27"/>
      <c r="K16" s="27"/>
      <c r="L16" s="27"/>
      <c r="M16" s="66"/>
    </row>
    <row r="17" spans="3:13">
      <c r="C17" s="65"/>
      <c r="D17" s="195"/>
      <c r="E17" s="195"/>
      <c r="F17" s="195"/>
      <c r="G17" s="195"/>
      <c r="H17" s="195"/>
      <c r="I17" s="195"/>
      <c r="J17" s="195"/>
      <c r="K17" s="195"/>
      <c r="L17" s="195"/>
      <c r="M17" s="66"/>
    </row>
    <row r="18" spans="3:13">
      <c r="C18" s="65"/>
      <c r="D18" s="195"/>
      <c r="E18" s="195"/>
      <c r="F18" s="195"/>
      <c r="G18" s="195"/>
      <c r="H18" s="195"/>
      <c r="I18" s="195"/>
      <c r="J18" s="195"/>
      <c r="K18" s="195"/>
      <c r="L18" s="195"/>
      <c r="M18" s="66"/>
    </row>
    <row r="19" spans="3:13">
      <c r="C19" s="65"/>
      <c r="D19" s="195"/>
      <c r="E19" s="195"/>
      <c r="F19" s="195"/>
      <c r="G19" s="195"/>
      <c r="H19" s="195"/>
      <c r="I19" s="195"/>
      <c r="J19" s="195"/>
      <c r="K19" s="195"/>
      <c r="L19" s="195"/>
      <c r="M19" s="66"/>
    </row>
    <row r="20" spans="3:13">
      <c r="C20" s="65"/>
      <c r="D20" s="195"/>
      <c r="E20" s="195"/>
      <c r="F20" s="195"/>
      <c r="G20" s="195"/>
      <c r="H20" s="195"/>
      <c r="I20" s="195"/>
      <c r="J20" s="195"/>
      <c r="K20" s="195"/>
      <c r="L20" s="195"/>
      <c r="M20" s="66"/>
    </row>
    <row r="21" spans="3:13">
      <c r="C21" s="65"/>
      <c r="D21" s="27"/>
      <c r="E21" s="27"/>
      <c r="F21" s="27"/>
      <c r="G21" s="27"/>
      <c r="H21" s="27"/>
      <c r="I21" s="27"/>
      <c r="J21" s="27"/>
      <c r="K21" s="27"/>
      <c r="L21" s="27"/>
      <c r="M21" s="66"/>
    </row>
    <row r="22" spans="3:13" ht="15.75" thickBot="1">
      <c r="C22" s="71"/>
      <c r="D22" s="28"/>
      <c r="E22" s="28"/>
      <c r="F22" s="28"/>
      <c r="G22" s="28"/>
      <c r="H22" s="28"/>
      <c r="I22" s="28"/>
      <c r="J22" s="28"/>
      <c r="K22" s="28"/>
      <c r="L22" s="28"/>
      <c r="M22" s="72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6"/>
  <sheetViews>
    <sheetView showGridLines="0" zoomScaleNormal="100" workbookViewId="0">
      <selection activeCell="E10" sqref="E10"/>
    </sheetView>
  </sheetViews>
  <sheetFormatPr defaultRowHeight="15"/>
  <cols>
    <col min="1" max="1" width="7.7109375" style="54" customWidth="1"/>
    <col min="2" max="2" width="4.7109375" style="77" customWidth="1"/>
    <col min="3" max="3" width="10.7109375" style="77" customWidth="1"/>
    <col min="4" max="4" width="9.140625" style="77"/>
    <col min="5" max="5" width="14.140625" style="77" customWidth="1"/>
    <col min="6" max="6" width="10.7109375" style="77" customWidth="1"/>
    <col min="7" max="7" width="4.7109375" style="77" customWidth="1"/>
    <col min="8" max="9" width="4.7109375" style="70" customWidth="1"/>
    <col min="10" max="10" width="9.140625" style="70"/>
    <col min="11" max="17" width="5.7109375" style="70" customWidth="1"/>
    <col min="18" max="18" width="4.7109375" style="78" customWidth="1"/>
    <col min="19" max="19" width="4.7109375" style="70" customWidth="1"/>
    <col min="20" max="20" width="4.7109375" style="77" customWidth="1"/>
    <col min="21" max="21" width="12.7109375" style="77" customWidth="1"/>
    <col min="22" max="22" width="15.85546875" style="77" customWidth="1"/>
    <col min="23" max="23" width="12.7109375" style="77" customWidth="1"/>
    <col min="24" max="24" width="4.7109375" style="77" customWidth="1"/>
    <col min="25" max="66" width="9.140625" style="54"/>
    <col min="67" max="16384" width="9.140625" style="62"/>
  </cols>
  <sheetData>
    <row r="1" spans="2:24" s="53" customFormat="1" ht="15.75" thickBot="1"/>
    <row r="2" spans="2:24" s="54" customFormat="1" ht="30" customHeight="1" thickBot="1">
      <c r="B2" s="205" t="s">
        <v>83</v>
      </c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7"/>
    </row>
    <row r="3" spans="2:24" ht="15" customHeight="1" thickBot="1">
      <c r="B3" s="55"/>
      <c r="C3" s="56"/>
      <c r="D3" s="56"/>
      <c r="E3" s="56"/>
      <c r="F3" s="56"/>
      <c r="G3" s="56"/>
      <c r="H3" s="58"/>
      <c r="I3" s="59"/>
      <c r="J3" s="59"/>
      <c r="K3" s="59"/>
      <c r="L3" s="59"/>
      <c r="M3" s="59"/>
      <c r="N3" s="59"/>
      <c r="O3" s="59"/>
      <c r="P3" s="59"/>
      <c r="Q3" s="59"/>
      <c r="R3" s="60"/>
      <c r="S3" s="61"/>
      <c r="T3" s="56"/>
      <c r="U3" s="56"/>
      <c r="V3" s="56"/>
      <c r="W3" s="56"/>
      <c r="X3" s="57"/>
    </row>
    <row r="4" spans="2:24" ht="30" customHeight="1">
      <c r="B4" s="63"/>
      <c r="C4" s="199" t="s">
        <v>86</v>
      </c>
      <c r="D4" s="200"/>
      <c r="E4" s="200"/>
      <c r="F4" s="201"/>
      <c r="G4" s="20"/>
      <c r="H4" s="64"/>
      <c r="I4" s="208" t="s">
        <v>84</v>
      </c>
      <c r="J4" s="209"/>
      <c r="K4" s="209"/>
      <c r="L4" s="209"/>
      <c r="M4" s="209"/>
      <c r="N4" s="209"/>
      <c r="O4" s="209"/>
      <c r="P4" s="209"/>
      <c r="Q4" s="209"/>
      <c r="R4" s="210"/>
      <c r="S4" s="39"/>
      <c r="T4" s="20"/>
      <c r="U4" s="199" t="s">
        <v>82</v>
      </c>
      <c r="V4" s="200"/>
      <c r="W4" s="201"/>
      <c r="X4" s="22"/>
    </row>
    <row r="5" spans="2:24" ht="30" customHeight="1" thickBot="1">
      <c r="B5" s="63"/>
      <c r="C5" s="202"/>
      <c r="D5" s="203"/>
      <c r="E5" s="203"/>
      <c r="F5" s="204"/>
      <c r="G5" s="20"/>
      <c r="H5" s="64"/>
      <c r="I5" s="211"/>
      <c r="J5" s="212"/>
      <c r="K5" s="212"/>
      <c r="L5" s="212"/>
      <c r="M5" s="212"/>
      <c r="N5" s="212"/>
      <c r="O5" s="212"/>
      <c r="P5" s="212"/>
      <c r="Q5" s="212"/>
      <c r="R5" s="213"/>
      <c r="S5" s="39"/>
      <c r="T5" s="20"/>
      <c r="U5" s="202"/>
      <c r="V5" s="203"/>
      <c r="W5" s="204"/>
      <c r="X5" s="22"/>
    </row>
    <row r="6" spans="2:24" ht="15.75" thickBot="1">
      <c r="B6" s="65"/>
      <c r="C6" s="20"/>
      <c r="D6" s="20"/>
      <c r="E6" s="20"/>
      <c r="F6" s="20"/>
      <c r="G6" s="27"/>
      <c r="H6" s="67"/>
      <c r="I6" s="21"/>
      <c r="J6" s="21"/>
      <c r="K6" s="21"/>
      <c r="L6" s="21"/>
      <c r="M6" s="21"/>
      <c r="N6" s="21"/>
      <c r="O6" s="21"/>
      <c r="P6" s="21"/>
      <c r="Q6" s="21"/>
      <c r="R6" s="29"/>
      <c r="S6" s="25"/>
      <c r="T6" s="27"/>
      <c r="U6" s="27"/>
      <c r="V6" s="27"/>
      <c r="W6" s="27"/>
      <c r="X6" s="66"/>
    </row>
    <row r="7" spans="2:24" ht="15.75" thickBot="1">
      <c r="B7" s="65"/>
      <c r="C7" s="27"/>
      <c r="D7" s="196" t="s">
        <v>0</v>
      </c>
      <c r="E7" s="198"/>
      <c r="F7" s="17"/>
      <c r="G7" s="17"/>
      <c r="H7" s="67"/>
      <c r="I7" s="21"/>
      <c r="J7" s="196" t="s">
        <v>78</v>
      </c>
      <c r="K7" s="197"/>
      <c r="L7" s="197"/>
      <c r="M7" s="197"/>
      <c r="N7" s="197"/>
      <c r="O7" s="197"/>
      <c r="P7" s="197"/>
      <c r="Q7" s="198"/>
      <c r="R7" s="30"/>
      <c r="S7" s="23"/>
      <c r="T7" s="27"/>
      <c r="U7" s="27"/>
      <c r="V7" s="4" t="s">
        <v>26</v>
      </c>
      <c r="W7" s="17"/>
      <c r="X7" s="66"/>
    </row>
    <row r="8" spans="2:24" ht="15.75" thickBot="1">
      <c r="B8" s="65"/>
      <c r="C8" s="27"/>
      <c r="D8" s="118" t="s">
        <v>1</v>
      </c>
      <c r="E8" s="119" t="s">
        <v>2</v>
      </c>
      <c r="F8" s="18"/>
      <c r="G8" s="18"/>
      <c r="H8" s="67"/>
      <c r="I8" s="21"/>
      <c r="J8" s="171"/>
      <c r="K8" s="172" t="s">
        <v>19</v>
      </c>
      <c r="L8" s="172" t="s">
        <v>20</v>
      </c>
      <c r="M8" s="172" t="s">
        <v>21</v>
      </c>
      <c r="N8" s="172" t="s">
        <v>22</v>
      </c>
      <c r="O8" s="172" t="s">
        <v>23</v>
      </c>
      <c r="P8" s="172" t="s">
        <v>24</v>
      </c>
      <c r="Q8" s="173" t="s">
        <v>25</v>
      </c>
      <c r="R8" s="30"/>
      <c r="S8" s="23"/>
      <c r="T8" s="27"/>
      <c r="U8" s="27"/>
      <c r="V8" s="124" t="s">
        <v>62</v>
      </c>
      <c r="W8" s="17"/>
      <c r="X8" s="66"/>
    </row>
    <row r="9" spans="2:24">
      <c r="B9" s="65"/>
      <c r="C9" s="27"/>
      <c r="D9" s="107">
        <v>0</v>
      </c>
      <c r="E9" s="120" t="s">
        <v>3</v>
      </c>
      <c r="F9" s="19"/>
      <c r="G9" s="19"/>
      <c r="H9" s="67"/>
      <c r="I9" s="21"/>
      <c r="J9" s="174">
        <v>1</v>
      </c>
      <c r="K9" s="167"/>
      <c r="L9" s="167"/>
      <c r="M9" s="112"/>
      <c r="N9" s="167"/>
      <c r="O9" s="112"/>
      <c r="P9" s="167"/>
      <c r="Q9" s="113"/>
      <c r="R9" s="31"/>
      <c r="S9" s="24"/>
      <c r="T9" s="27"/>
      <c r="U9" s="27"/>
      <c r="V9" s="187"/>
      <c r="W9" s="69"/>
      <c r="X9" s="66"/>
    </row>
    <row r="10" spans="2:24">
      <c r="B10" s="65"/>
      <c r="C10" s="27"/>
      <c r="D10" s="107">
        <v>1</v>
      </c>
      <c r="E10" s="108" t="s">
        <v>4</v>
      </c>
      <c r="F10" s="20"/>
      <c r="G10" s="20"/>
      <c r="H10" s="67"/>
      <c r="I10" s="21"/>
      <c r="J10" s="174">
        <f>J9+1</f>
        <v>2</v>
      </c>
      <c r="K10" s="167"/>
      <c r="L10" s="112"/>
      <c r="M10" s="167"/>
      <c r="N10" s="167"/>
      <c r="O10" s="112"/>
      <c r="P10" s="167"/>
      <c r="Q10" s="113"/>
      <c r="R10" s="31"/>
      <c r="S10" s="24"/>
      <c r="T10" s="27"/>
      <c r="U10" s="27"/>
      <c r="V10" s="188"/>
      <c r="W10" s="69"/>
      <c r="X10" s="66"/>
    </row>
    <row r="11" spans="2:24">
      <c r="B11" s="65"/>
      <c r="C11" s="27"/>
      <c r="D11" s="107">
        <f>D10+1</f>
        <v>2</v>
      </c>
      <c r="E11" s="108" t="s">
        <v>5</v>
      </c>
      <c r="F11" s="20"/>
      <c r="G11" s="20"/>
      <c r="H11" s="67"/>
      <c r="I11" s="21"/>
      <c r="J11" s="174">
        <f t="shared" ref="J11:J15" si="0">J10+1</f>
        <v>3</v>
      </c>
      <c r="K11" s="167"/>
      <c r="L11" s="112"/>
      <c r="M11" s="167"/>
      <c r="N11" s="112"/>
      <c r="O11" s="167"/>
      <c r="P11" s="167"/>
      <c r="Q11" s="113"/>
      <c r="R11" s="31"/>
      <c r="S11" s="24"/>
      <c r="T11" s="27"/>
      <c r="U11" s="27"/>
      <c r="V11" s="188"/>
      <c r="W11" s="69"/>
      <c r="X11" s="66"/>
    </row>
    <row r="12" spans="2:24">
      <c r="B12" s="65"/>
      <c r="C12" s="27"/>
      <c r="D12" s="107">
        <f t="shared" ref="D12:D24" si="1">D11+1</f>
        <v>3</v>
      </c>
      <c r="E12" s="108" t="s">
        <v>6</v>
      </c>
      <c r="F12" s="20"/>
      <c r="G12" s="20"/>
      <c r="H12" s="67"/>
      <c r="I12" s="21"/>
      <c r="J12" s="174">
        <f t="shared" si="0"/>
        <v>4</v>
      </c>
      <c r="K12" s="167"/>
      <c r="L12" s="112"/>
      <c r="M12" s="167"/>
      <c r="N12" s="112"/>
      <c r="O12" s="167"/>
      <c r="P12" s="112"/>
      <c r="Q12" s="168"/>
      <c r="R12" s="31"/>
      <c r="S12" s="24"/>
      <c r="T12" s="27"/>
      <c r="U12" s="27"/>
      <c r="V12" s="188"/>
      <c r="W12" s="69"/>
      <c r="X12" s="66"/>
    </row>
    <row r="13" spans="2:24">
      <c r="B13" s="65"/>
      <c r="C13" s="27"/>
      <c r="D13" s="107">
        <f t="shared" si="1"/>
        <v>4</v>
      </c>
      <c r="E13" s="108" t="s">
        <v>7</v>
      </c>
      <c r="F13" s="20"/>
      <c r="G13" s="20"/>
      <c r="H13" s="67"/>
      <c r="I13" s="21"/>
      <c r="J13" s="174">
        <f t="shared" si="0"/>
        <v>5</v>
      </c>
      <c r="K13" s="112"/>
      <c r="L13" s="167"/>
      <c r="M13" s="167"/>
      <c r="N13" s="112"/>
      <c r="O13" s="167"/>
      <c r="P13" s="112"/>
      <c r="Q13" s="168"/>
      <c r="R13" s="29"/>
      <c r="S13" s="25"/>
      <c r="T13" s="27"/>
      <c r="U13" s="27"/>
      <c r="V13" s="188"/>
      <c r="W13" s="69"/>
      <c r="X13" s="66"/>
    </row>
    <row r="14" spans="2:24">
      <c r="B14" s="65"/>
      <c r="C14" s="27"/>
      <c r="D14" s="107">
        <f t="shared" si="1"/>
        <v>5</v>
      </c>
      <c r="E14" s="108" t="s">
        <v>8</v>
      </c>
      <c r="F14" s="20"/>
      <c r="G14" s="20"/>
      <c r="H14" s="67"/>
      <c r="I14" s="21"/>
      <c r="J14" s="174">
        <f t="shared" si="0"/>
        <v>6</v>
      </c>
      <c r="K14" s="112"/>
      <c r="L14" s="167"/>
      <c r="M14" s="112"/>
      <c r="N14" s="167"/>
      <c r="O14" s="167"/>
      <c r="P14" s="112"/>
      <c r="Q14" s="168"/>
      <c r="R14" s="30"/>
      <c r="S14" s="23"/>
      <c r="T14" s="27"/>
      <c r="U14" s="27"/>
      <c r="V14" s="188"/>
      <c r="W14" s="69"/>
      <c r="X14" s="66"/>
    </row>
    <row r="15" spans="2:24" ht="15.75" thickBot="1">
      <c r="B15" s="65"/>
      <c r="C15" s="27"/>
      <c r="D15" s="107">
        <f t="shared" si="1"/>
        <v>6</v>
      </c>
      <c r="E15" s="108" t="s">
        <v>9</v>
      </c>
      <c r="F15" s="20"/>
      <c r="G15" s="20"/>
      <c r="H15" s="67"/>
      <c r="I15" s="21"/>
      <c r="J15" s="175">
        <f t="shared" si="0"/>
        <v>7</v>
      </c>
      <c r="K15" s="115"/>
      <c r="L15" s="169"/>
      <c r="M15" s="115"/>
      <c r="N15" s="169"/>
      <c r="O15" s="115"/>
      <c r="P15" s="169"/>
      <c r="Q15" s="170"/>
      <c r="R15" s="30"/>
      <c r="S15" s="23"/>
      <c r="T15" s="27"/>
      <c r="U15" s="27"/>
      <c r="V15" s="188"/>
      <c r="W15" s="69"/>
      <c r="X15" s="66"/>
    </row>
    <row r="16" spans="2:24">
      <c r="B16" s="65"/>
      <c r="C16" s="27"/>
      <c r="D16" s="107">
        <f t="shared" si="1"/>
        <v>7</v>
      </c>
      <c r="E16" s="108" t="s">
        <v>6</v>
      </c>
      <c r="F16" s="20"/>
      <c r="G16" s="20"/>
      <c r="H16" s="67"/>
      <c r="I16" s="21"/>
      <c r="J16" s="21"/>
      <c r="K16" s="21"/>
      <c r="L16" s="21"/>
      <c r="M16" s="21"/>
      <c r="N16" s="21"/>
      <c r="O16" s="21"/>
      <c r="P16" s="21"/>
      <c r="Q16" s="21"/>
      <c r="R16" s="31"/>
      <c r="S16" s="24"/>
      <c r="T16" s="27"/>
      <c r="U16" s="27"/>
      <c r="V16" s="188"/>
      <c r="W16" s="69"/>
      <c r="X16" s="66"/>
    </row>
    <row r="17" spans="2:24" ht="15.75" thickBot="1">
      <c r="B17" s="65"/>
      <c r="C17" s="27"/>
      <c r="D17" s="107">
        <f t="shared" si="1"/>
        <v>8</v>
      </c>
      <c r="E17" s="121" t="s">
        <v>10</v>
      </c>
      <c r="F17" s="20"/>
      <c r="G17" s="20"/>
      <c r="H17" s="67"/>
      <c r="I17" s="21"/>
      <c r="J17" s="21"/>
      <c r="K17" s="21"/>
      <c r="L17" s="21"/>
      <c r="M17" s="21"/>
      <c r="N17" s="21"/>
      <c r="O17" s="21"/>
      <c r="P17" s="21"/>
      <c r="Q17" s="21"/>
      <c r="R17" s="30"/>
      <c r="S17" s="23"/>
      <c r="T17" s="27"/>
      <c r="U17" s="27"/>
      <c r="V17" s="188"/>
      <c r="W17" s="69"/>
      <c r="X17" s="66"/>
    </row>
    <row r="18" spans="2:24" ht="15.75" thickBot="1">
      <c r="B18" s="65"/>
      <c r="C18" s="27"/>
      <c r="D18" s="107">
        <f t="shared" si="1"/>
        <v>9</v>
      </c>
      <c r="E18" s="122" t="s">
        <v>11</v>
      </c>
      <c r="F18" s="20"/>
      <c r="G18" s="27"/>
      <c r="H18" s="67"/>
      <c r="I18" s="21"/>
      <c r="J18" s="196" t="s">
        <v>79</v>
      </c>
      <c r="K18" s="197"/>
      <c r="L18" s="197"/>
      <c r="M18" s="197"/>
      <c r="N18" s="197"/>
      <c r="O18" s="197"/>
      <c r="P18" s="197"/>
      <c r="Q18" s="198"/>
      <c r="R18" s="31"/>
      <c r="S18" s="24"/>
      <c r="T18" s="27"/>
      <c r="U18" s="27"/>
      <c r="V18" s="188"/>
      <c r="W18" s="69"/>
      <c r="X18" s="66"/>
    </row>
    <row r="19" spans="2:24">
      <c r="B19" s="65"/>
      <c r="C19" s="27"/>
      <c r="D19" s="107">
        <f t="shared" si="1"/>
        <v>10</v>
      </c>
      <c r="E19" s="122" t="s">
        <v>12</v>
      </c>
      <c r="F19" s="20"/>
      <c r="G19" s="20"/>
      <c r="H19" s="67"/>
      <c r="I19" s="21"/>
      <c r="J19" s="155"/>
      <c r="K19" s="156" t="s">
        <v>19</v>
      </c>
      <c r="L19" s="156" t="s">
        <v>20</v>
      </c>
      <c r="M19" s="156" t="s">
        <v>21</v>
      </c>
      <c r="N19" s="156" t="s">
        <v>22</v>
      </c>
      <c r="O19" s="156" t="s">
        <v>23</v>
      </c>
      <c r="P19" s="156" t="s">
        <v>24</v>
      </c>
      <c r="Q19" s="157" t="s">
        <v>25</v>
      </c>
      <c r="R19" s="31"/>
      <c r="S19" s="24"/>
      <c r="T19" s="27"/>
      <c r="U19" s="27"/>
      <c r="V19" s="188"/>
      <c r="W19" s="69"/>
      <c r="X19" s="66"/>
    </row>
    <row r="20" spans="2:24">
      <c r="B20" s="65"/>
      <c r="C20" s="27"/>
      <c r="D20" s="107">
        <f t="shared" si="1"/>
        <v>11</v>
      </c>
      <c r="E20" s="122" t="s">
        <v>13</v>
      </c>
      <c r="F20" s="20"/>
      <c r="G20" s="20"/>
      <c r="H20" s="67"/>
      <c r="I20" s="21"/>
      <c r="J20" s="158">
        <v>1</v>
      </c>
      <c r="K20" s="159"/>
      <c r="L20" s="159"/>
      <c r="M20" s="160"/>
      <c r="N20" s="159"/>
      <c r="O20" s="160"/>
      <c r="P20" s="159"/>
      <c r="Q20" s="161"/>
      <c r="R20" s="29"/>
      <c r="S20" s="25"/>
      <c r="T20" s="27"/>
      <c r="U20" s="27"/>
      <c r="V20" s="188"/>
      <c r="W20" s="27"/>
      <c r="X20" s="66"/>
    </row>
    <row r="21" spans="2:24">
      <c r="B21" s="65"/>
      <c r="C21" s="27"/>
      <c r="D21" s="107">
        <f t="shared" si="1"/>
        <v>12</v>
      </c>
      <c r="E21" s="122" t="s">
        <v>14</v>
      </c>
      <c r="F21" s="20"/>
      <c r="G21" s="20"/>
      <c r="H21" s="67"/>
      <c r="I21" s="21"/>
      <c r="J21" s="158">
        <f>J20+1</f>
        <v>2</v>
      </c>
      <c r="K21" s="159"/>
      <c r="L21" s="160"/>
      <c r="M21" s="159"/>
      <c r="N21" s="159"/>
      <c r="O21" s="160"/>
      <c r="P21" s="159"/>
      <c r="Q21" s="161"/>
      <c r="R21" s="30"/>
      <c r="S21" s="23"/>
      <c r="T21" s="27"/>
      <c r="U21" s="27"/>
      <c r="V21" s="188"/>
      <c r="W21" s="27"/>
      <c r="X21" s="66"/>
    </row>
    <row r="22" spans="2:24">
      <c r="B22" s="65"/>
      <c r="C22" s="27"/>
      <c r="D22" s="107">
        <f t="shared" si="1"/>
        <v>13</v>
      </c>
      <c r="E22" s="122" t="s">
        <v>15</v>
      </c>
      <c r="F22" s="20"/>
      <c r="G22" s="20"/>
      <c r="H22" s="67"/>
      <c r="I22" s="21"/>
      <c r="J22" s="158">
        <f t="shared" ref="J22:J26" si="2">J21+1</f>
        <v>3</v>
      </c>
      <c r="K22" s="159"/>
      <c r="L22" s="160"/>
      <c r="M22" s="159"/>
      <c r="N22" s="160"/>
      <c r="O22" s="159"/>
      <c r="P22" s="159"/>
      <c r="Q22" s="161"/>
      <c r="R22" s="30"/>
      <c r="S22" s="23"/>
      <c r="T22" s="27"/>
      <c r="U22" s="27"/>
      <c r="V22" s="188"/>
      <c r="W22" s="27"/>
      <c r="X22" s="66"/>
    </row>
    <row r="23" spans="2:24">
      <c r="B23" s="65"/>
      <c r="C23" s="27"/>
      <c r="D23" s="107">
        <f t="shared" si="1"/>
        <v>14</v>
      </c>
      <c r="E23" s="122" t="s">
        <v>16</v>
      </c>
      <c r="F23" s="20"/>
      <c r="G23" s="20"/>
      <c r="H23" s="67"/>
      <c r="I23" s="21"/>
      <c r="J23" s="158">
        <f t="shared" si="2"/>
        <v>4</v>
      </c>
      <c r="K23" s="159"/>
      <c r="L23" s="160"/>
      <c r="M23" s="159"/>
      <c r="N23" s="160"/>
      <c r="O23" s="159"/>
      <c r="P23" s="160"/>
      <c r="Q23" s="162"/>
      <c r="R23" s="31"/>
      <c r="S23" s="24"/>
      <c r="T23" s="27"/>
      <c r="U23" s="27"/>
      <c r="V23" s="188"/>
      <c r="W23" s="27"/>
      <c r="X23" s="66"/>
    </row>
    <row r="24" spans="2:24" ht="15.75" thickBot="1">
      <c r="B24" s="65"/>
      <c r="C24" s="27"/>
      <c r="D24" s="114">
        <f t="shared" si="1"/>
        <v>15</v>
      </c>
      <c r="E24" s="123" t="s">
        <v>17</v>
      </c>
      <c r="F24" s="20"/>
      <c r="G24" s="20"/>
      <c r="H24" s="67"/>
      <c r="I24" s="21"/>
      <c r="J24" s="158">
        <f t="shared" si="2"/>
        <v>5</v>
      </c>
      <c r="K24" s="160"/>
      <c r="L24" s="159" t="s">
        <v>75</v>
      </c>
      <c r="M24" s="159" t="s">
        <v>75</v>
      </c>
      <c r="N24" s="160"/>
      <c r="O24" s="159" t="s">
        <v>75</v>
      </c>
      <c r="P24" s="160"/>
      <c r="Q24" s="162" t="s">
        <v>75</v>
      </c>
      <c r="R24" s="31"/>
      <c r="S24" s="24"/>
      <c r="T24" s="27"/>
      <c r="U24" s="27"/>
      <c r="V24" s="188"/>
      <c r="W24" s="27"/>
      <c r="X24" s="66"/>
    </row>
    <row r="25" spans="2:24">
      <c r="B25" s="65"/>
      <c r="C25" s="27"/>
      <c r="D25" s="27"/>
      <c r="E25" s="27"/>
      <c r="F25" s="27"/>
      <c r="G25" s="27"/>
      <c r="H25" s="67"/>
      <c r="I25" s="21"/>
      <c r="J25" s="158">
        <f t="shared" si="2"/>
        <v>6</v>
      </c>
      <c r="K25" s="160"/>
      <c r="L25" s="159"/>
      <c r="M25" s="160"/>
      <c r="N25" s="159"/>
      <c r="O25" s="159"/>
      <c r="P25" s="160"/>
      <c r="Q25" s="162"/>
      <c r="R25" s="31"/>
      <c r="S25" s="24"/>
      <c r="T25" s="27"/>
      <c r="U25" s="27"/>
      <c r="V25" s="188"/>
      <c r="W25" s="27"/>
      <c r="X25" s="66"/>
    </row>
    <row r="26" spans="2:24" ht="15.75" thickBot="1">
      <c r="B26" s="65"/>
      <c r="C26" s="27"/>
      <c r="D26" s="27"/>
      <c r="E26" s="27"/>
      <c r="F26" s="27"/>
      <c r="G26" s="27"/>
      <c r="H26" s="67"/>
      <c r="I26" s="21"/>
      <c r="J26" s="163">
        <f t="shared" si="2"/>
        <v>7</v>
      </c>
      <c r="K26" s="164"/>
      <c r="L26" s="165"/>
      <c r="M26" s="164"/>
      <c r="N26" s="165"/>
      <c r="O26" s="164"/>
      <c r="P26" s="165"/>
      <c r="Q26" s="166"/>
      <c r="R26" s="31"/>
      <c r="S26" s="24"/>
      <c r="T26" s="27"/>
      <c r="U26" s="27"/>
      <c r="V26" s="188"/>
      <c r="W26" s="27"/>
      <c r="X26" s="66"/>
    </row>
    <row r="27" spans="2:24" ht="15.75" thickBot="1">
      <c r="B27" s="65"/>
      <c r="C27" s="27"/>
      <c r="D27" s="27"/>
      <c r="E27" s="27"/>
      <c r="F27" s="27"/>
      <c r="G27" s="27"/>
      <c r="H27" s="67"/>
      <c r="I27" s="21"/>
      <c r="J27" s="40"/>
      <c r="K27" s="40"/>
      <c r="L27" s="40"/>
      <c r="M27" s="40"/>
      <c r="N27" s="40"/>
      <c r="O27" s="40"/>
      <c r="P27" s="151"/>
      <c r="Q27" s="40"/>
      <c r="R27" s="29"/>
      <c r="S27" s="25"/>
      <c r="T27" s="27"/>
      <c r="U27" s="27"/>
      <c r="V27" s="188"/>
      <c r="W27" s="69"/>
      <c r="X27" s="66"/>
    </row>
    <row r="28" spans="2:24" ht="15.75" thickBot="1">
      <c r="B28" s="65"/>
      <c r="C28" s="27"/>
      <c r="D28" s="27"/>
      <c r="E28" s="27"/>
      <c r="F28" s="27"/>
      <c r="G28" s="27"/>
      <c r="H28" s="67"/>
      <c r="I28" s="21"/>
      <c r="J28" s="196" t="s">
        <v>80</v>
      </c>
      <c r="K28" s="197"/>
      <c r="L28" s="197"/>
      <c r="M28" s="197"/>
      <c r="N28" s="197"/>
      <c r="O28" s="197"/>
      <c r="P28" s="197"/>
      <c r="Q28" s="198"/>
      <c r="R28" s="30"/>
      <c r="S28" s="23"/>
      <c r="T28" s="27"/>
      <c r="U28" s="27"/>
      <c r="V28" s="188"/>
      <c r="W28" s="69"/>
      <c r="X28" s="66"/>
    </row>
    <row r="29" spans="2:24">
      <c r="B29" s="65"/>
      <c r="C29" s="27"/>
      <c r="D29" s="27"/>
      <c r="E29" s="27"/>
      <c r="F29" s="27"/>
      <c r="G29" s="27"/>
      <c r="H29" s="67"/>
      <c r="I29" s="21"/>
      <c r="J29" s="155"/>
      <c r="K29" s="156" t="s">
        <v>19</v>
      </c>
      <c r="L29" s="156" t="s">
        <v>20</v>
      </c>
      <c r="M29" s="156" t="s">
        <v>21</v>
      </c>
      <c r="N29" s="156" t="s">
        <v>22</v>
      </c>
      <c r="O29" s="156" t="s">
        <v>23</v>
      </c>
      <c r="P29" s="156" t="s">
        <v>24</v>
      </c>
      <c r="Q29" s="157" t="s">
        <v>25</v>
      </c>
      <c r="R29" s="30"/>
      <c r="S29" s="23"/>
      <c r="T29" s="27"/>
      <c r="U29" s="27"/>
      <c r="V29" s="188"/>
      <c r="W29" s="69"/>
      <c r="X29" s="66"/>
    </row>
    <row r="30" spans="2:24">
      <c r="B30" s="65"/>
      <c r="C30" s="27"/>
      <c r="D30" s="27"/>
      <c r="E30" s="27"/>
      <c r="F30" s="27"/>
      <c r="G30" s="27"/>
      <c r="H30" s="67"/>
      <c r="I30" s="21"/>
      <c r="J30" s="158">
        <v>1</v>
      </c>
      <c r="K30" s="159"/>
      <c r="L30" s="159"/>
      <c r="M30" s="160"/>
      <c r="N30" s="159"/>
      <c r="O30" s="160"/>
      <c r="P30" s="159"/>
      <c r="Q30" s="161"/>
      <c r="R30" s="31"/>
      <c r="S30" s="24"/>
      <c r="T30" s="27"/>
      <c r="U30" s="27"/>
      <c r="V30" s="188"/>
      <c r="W30" s="69"/>
      <c r="X30" s="66"/>
    </row>
    <row r="31" spans="2:24">
      <c r="B31" s="65"/>
      <c r="C31" s="27"/>
      <c r="D31" s="27"/>
      <c r="E31" s="27"/>
      <c r="F31" s="27"/>
      <c r="G31" s="27"/>
      <c r="H31" s="67"/>
      <c r="I31" s="21"/>
      <c r="J31" s="158">
        <f>J30+1</f>
        <v>2</v>
      </c>
      <c r="K31" s="159"/>
      <c r="L31" s="160"/>
      <c r="M31" s="159"/>
      <c r="N31" s="159"/>
      <c r="O31" s="160"/>
      <c r="P31" s="159"/>
      <c r="Q31" s="161"/>
      <c r="R31" s="30"/>
      <c r="S31" s="23"/>
      <c r="T31" s="27"/>
      <c r="U31" s="27"/>
      <c r="V31" s="188"/>
      <c r="W31" s="69"/>
      <c r="X31" s="66"/>
    </row>
    <row r="32" spans="2:24">
      <c r="B32" s="65"/>
      <c r="C32" s="27"/>
      <c r="D32" s="27"/>
      <c r="E32" s="27"/>
      <c r="F32" s="27"/>
      <c r="G32" s="27"/>
      <c r="H32" s="67"/>
      <c r="I32" s="21"/>
      <c r="J32" s="158">
        <f t="shared" ref="J32:J36" si="3">J31+1</f>
        <v>3</v>
      </c>
      <c r="K32" s="159"/>
      <c r="L32" s="160"/>
      <c r="M32" s="159"/>
      <c r="N32" s="160"/>
      <c r="O32" s="159"/>
      <c r="P32" s="159"/>
      <c r="Q32" s="161"/>
      <c r="R32" s="31"/>
      <c r="S32" s="24"/>
      <c r="T32" s="27"/>
      <c r="U32" s="27"/>
      <c r="V32" s="188"/>
      <c r="W32" s="69"/>
      <c r="X32" s="66"/>
    </row>
    <row r="33" spans="2:24">
      <c r="B33" s="65"/>
      <c r="C33" s="27"/>
      <c r="D33" s="27"/>
      <c r="E33" s="27"/>
      <c r="F33" s="27"/>
      <c r="G33" s="27"/>
      <c r="H33" s="67"/>
      <c r="I33" s="21"/>
      <c r="J33" s="158">
        <f t="shared" si="3"/>
        <v>4</v>
      </c>
      <c r="K33" s="159"/>
      <c r="L33" s="160"/>
      <c r="M33" s="159"/>
      <c r="N33" s="160"/>
      <c r="O33" s="159"/>
      <c r="P33" s="160"/>
      <c r="Q33" s="162"/>
      <c r="R33" s="31"/>
      <c r="S33" s="24"/>
      <c r="T33" s="27"/>
      <c r="U33" s="27"/>
      <c r="V33" s="188"/>
      <c r="W33" s="69"/>
      <c r="X33" s="66"/>
    </row>
    <row r="34" spans="2:24">
      <c r="B34" s="65"/>
      <c r="C34" s="27"/>
      <c r="D34" s="27"/>
      <c r="E34" s="27"/>
      <c r="F34" s="27"/>
      <c r="G34" s="27"/>
      <c r="H34" s="67"/>
      <c r="I34" s="21"/>
      <c r="J34" s="158">
        <f t="shared" si="3"/>
        <v>5</v>
      </c>
      <c r="K34" s="160"/>
      <c r="L34" s="159"/>
      <c r="M34" s="159"/>
      <c r="N34" s="160"/>
      <c r="O34" s="159"/>
      <c r="P34" s="160"/>
      <c r="Q34" s="162"/>
      <c r="R34" s="29"/>
      <c r="S34" s="25"/>
      <c r="T34" s="27"/>
      <c r="U34" s="27"/>
      <c r="V34" s="188"/>
      <c r="W34" s="69"/>
      <c r="X34" s="66"/>
    </row>
    <row r="35" spans="2:24">
      <c r="B35" s="65"/>
      <c r="C35" s="27"/>
      <c r="D35" s="27"/>
      <c r="E35" s="27"/>
      <c r="F35" s="27"/>
      <c r="G35" s="27"/>
      <c r="H35" s="67"/>
      <c r="I35" s="21"/>
      <c r="J35" s="158">
        <f t="shared" si="3"/>
        <v>6</v>
      </c>
      <c r="K35" s="160"/>
      <c r="L35" s="159"/>
      <c r="M35" s="160"/>
      <c r="N35" s="159"/>
      <c r="O35" s="159"/>
      <c r="P35" s="160"/>
      <c r="Q35" s="162"/>
      <c r="R35" s="30"/>
      <c r="S35" s="23"/>
      <c r="T35" s="27"/>
      <c r="U35" s="27"/>
      <c r="V35" s="188"/>
      <c r="W35" s="69"/>
      <c r="X35" s="66"/>
    </row>
    <row r="36" spans="2:24" ht="15.75" thickBot="1">
      <c r="B36" s="65"/>
      <c r="C36" s="27"/>
      <c r="D36" s="27"/>
      <c r="E36" s="27"/>
      <c r="F36" s="27"/>
      <c r="G36" s="27"/>
      <c r="H36" s="67"/>
      <c r="I36" s="21"/>
      <c r="J36" s="163">
        <f t="shared" si="3"/>
        <v>7</v>
      </c>
      <c r="K36" s="164"/>
      <c r="L36" s="165" t="s">
        <v>75</v>
      </c>
      <c r="M36" s="164"/>
      <c r="N36" s="165"/>
      <c r="O36" s="164"/>
      <c r="P36" s="165" t="s">
        <v>75</v>
      </c>
      <c r="Q36" s="166"/>
      <c r="R36" s="30"/>
      <c r="S36" s="23"/>
      <c r="T36" s="27"/>
      <c r="U36" s="27"/>
      <c r="V36" s="188"/>
      <c r="W36" s="69"/>
      <c r="X36" s="66"/>
    </row>
    <row r="37" spans="2:24" ht="15.75" thickBot="1">
      <c r="B37" s="65"/>
      <c r="C37" s="27"/>
      <c r="D37" s="27"/>
      <c r="E37" s="27"/>
      <c r="F37" s="27"/>
      <c r="G37" s="27"/>
      <c r="H37" s="67"/>
      <c r="I37" s="21"/>
      <c r="J37" s="40"/>
      <c r="K37" s="40"/>
      <c r="L37" s="40"/>
      <c r="M37" s="151"/>
      <c r="N37" s="40"/>
      <c r="O37" s="40"/>
      <c r="P37" s="40"/>
      <c r="Q37" s="40"/>
      <c r="R37" s="31"/>
      <c r="S37" s="24"/>
      <c r="T37" s="27"/>
      <c r="U37" s="27"/>
      <c r="V37" s="188"/>
      <c r="W37" s="69"/>
      <c r="X37" s="66"/>
    </row>
    <row r="38" spans="2:24" ht="15.75" thickBot="1">
      <c r="B38" s="65"/>
      <c r="C38" s="27"/>
      <c r="D38" s="27"/>
      <c r="E38" s="27"/>
      <c r="F38" s="27"/>
      <c r="G38" s="27"/>
      <c r="H38" s="67"/>
      <c r="I38" s="21"/>
      <c r="J38" s="196" t="s">
        <v>81</v>
      </c>
      <c r="K38" s="197"/>
      <c r="L38" s="197"/>
      <c r="M38" s="197"/>
      <c r="N38" s="197"/>
      <c r="O38" s="197"/>
      <c r="P38" s="197"/>
      <c r="Q38" s="198"/>
      <c r="R38" s="31"/>
      <c r="S38" s="24"/>
      <c r="T38" s="27"/>
      <c r="U38" s="27"/>
      <c r="V38" s="188"/>
      <c r="W38" s="69"/>
      <c r="X38" s="66"/>
    </row>
    <row r="39" spans="2:24">
      <c r="B39" s="65"/>
      <c r="C39" s="27"/>
      <c r="D39" s="27"/>
      <c r="E39" s="27"/>
      <c r="F39" s="27"/>
      <c r="G39" s="27"/>
      <c r="H39" s="67"/>
      <c r="I39" s="21"/>
      <c r="J39" s="155"/>
      <c r="K39" s="156" t="s">
        <v>19</v>
      </c>
      <c r="L39" s="156" t="s">
        <v>20</v>
      </c>
      <c r="M39" s="156" t="s">
        <v>21</v>
      </c>
      <c r="N39" s="156" t="s">
        <v>22</v>
      </c>
      <c r="O39" s="156" t="s">
        <v>23</v>
      </c>
      <c r="P39" s="156" t="s">
        <v>24</v>
      </c>
      <c r="Q39" s="157" t="s">
        <v>25</v>
      </c>
      <c r="R39" s="31"/>
      <c r="S39" s="24"/>
      <c r="T39" s="27"/>
      <c r="U39" s="27"/>
      <c r="V39" s="188"/>
      <c r="W39" s="69"/>
      <c r="X39" s="66"/>
    </row>
    <row r="40" spans="2:24">
      <c r="B40" s="65"/>
      <c r="C40" s="27"/>
      <c r="D40" s="27"/>
      <c r="E40" s="27"/>
      <c r="F40" s="27"/>
      <c r="G40" s="27"/>
      <c r="H40" s="67"/>
      <c r="I40" s="21"/>
      <c r="J40" s="158">
        <v>1</v>
      </c>
      <c r="K40" s="159"/>
      <c r="L40" s="159"/>
      <c r="M40" s="160"/>
      <c r="N40" s="159"/>
      <c r="O40" s="160"/>
      <c r="P40" s="159"/>
      <c r="Q40" s="161"/>
      <c r="R40" s="31"/>
      <c r="S40" s="24"/>
      <c r="T40" s="27"/>
      <c r="U40" s="27"/>
      <c r="V40" s="188"/>
      <c r="W40" s="69"/>
      <c r="X40" s="66"/>
    </row>
    <row r="41" spans="2:24">
      <c r="B41" s="65"/>
      <c r="C41" s="27"/>
      <c r="D41" s="27"/>
      <c r="E41" s="27"/>
      <c r="F41" s="27"/>
      <c r="G41" s="27"/>
      <c r="H41" s="67"/>
      <c r="I41" s="21"/>
      <c r="J41" s="158">
        <f>J40+1</f>
        <v>2</v>
      </c>
      <c r="K41" s="159"/>
      <c r="L41" s="160"/>
      <c r="M41" s="159"/>
      <c r="N41" s="159"/>
      <c r="O41" s="160"/>
      <c r="P41" s="159"/>
      <c r="Q41" s="161"/>
      <c r="R41" s="29"/>
      <c r="S41" s="25"/>
      <c r="T41" s="27"/>
      <c r="U41" s="27"/>
      <c r="V41" s="188"/>
      <c r="W41" s="69"/>
      <c r="X41" s="66"/>
    </row>
    <row r="42" spans="2:24">
      <c r="B42" s="65"/>
      <c r="C42" s="27"/>
      <c r="D42" s="27"/>
      <c r="E42" s="27"/>
      <c r="F42" s="27"/>
      <c r="G42" s="27"/>
      <c r="H42" s="67"/>
      <c r="I42" s="21"/>
      <c r="J42" s="158">
        <f t="shared" ref="J42:J46" si="4">J41+1</f>
        <v>3</v>
      </c>
      <c r="K42" s="159"/>
      <c r="L42" s="160"/>
      <c r="M42" s="159"/>
      <c r="N42" s="160"/>
      <c r="O42" s="159"/>
      <c r="P42" s="159"/>
      <c r="Q42" s="161"/>
      <c r="R42" s="30"/>
      <c r="S42" s="23"/>
      <c r="T42" s="27"/>
      <c r="U42" s="27"/>
      <c r="V42" s="188"/>
      <c r="W42" s="69"/>
      <c r="X42" s="66"/>
    </row>
    <row r="43" spans="2:24">
      <c r="B43" s="65"/>
      <c r="C43" s="27"/>
      <c r="D43" s="27"/>
      <c r="E43" s="27"/>
      <c r="F43" s="27"/>
      <c r="G43" s="27"/>
      <c r="H43" s="67"/>
      <c r="I43" s="21"/>
      <c r="J43" s="158">
        <f t="shared" si="4"/>
        <v>4</v>
      </c>
      <c r="K43" s="159"/>
      <c r="L43" s="160"/>
      <c r="M43" s="159"/>
      <c r="N43" s="160"/>
      <c r="O43" s="159"/>
      <c r="P43" s="160"/>
      <c r="Q43" s="162"/>
      <c r="R43" s="30"/>
      <c r="S43" s="23"/>
      <c r="T43" s="27"/>
      <c r="U43" s="27"/>
      <c r="V43" s="188"/>
      <c r="W43" s="69"/>
      <c r="X43" s="66"/>
    </row>
    <row r="44" spans="2:24">
      <c r="B44" s="65"/>
      <c r="C44" s="27"/>
      <c r="D44" s="27"/>
      <c r="E44" s="27"/>
      <c r="F44" s="27"/>
      <c r="G44" s="27"/>
      <c r="H44" s="67"/>
      <c r="I44" s="21"/>
      <c r="J44" s="158">
        <f t="shared" si="4"/>
        <v>5</v>
      </c>
      <c r="K44" s="160"/>
      <c r="L44" s="159" t="s">
        <v>75</v>
      </c>
      <c r="M44" s="159" t="s">
        <v>75</v>
      </c>
      <c r="N44" s="160"/>
      <c r="O44" s="159" t="s">
        <v>75</v>
      </c>
      <c r="P44" s="160"/>
      <c r="Q44" s="162" t="s">
        <v>75</v>
      </c>
      <c r="R44" s="32"/>
      <c r="S44" s="26"/>
      <c r="T44" s="27"/>
      <c r="U44" s="27"/>
      <c r="V44" s="188"/>
      <c r="W44" s="69"/>
      <c r="X44" s="66"/>
    </row>
    <row r="45" spans="2:24">
      <c r="B45" s="65"/>
      <c r="C45" s="27"/>
      <c r="D45" s="27"/>
      <c r="E45" s="27"/>
      <c r="F45" s="27"/>
      <c r="G45" s="27"/>
      <c r="H45" s="67"/>
      <c r="I45" s="21"/>
      <c r="J45" s="158">
        <f t="shared" si="4"/>
        <v>6</v>
      </c>
      <c r="K45" s="160"/>
      <c r="L45" s="159"/>
      <c r="M45" s="160"/>
      <c r="N45" s="159"/>
      <c r="O45" s="159"/>
      <c r="P45" s="160"/>
      <c r="Q45" s="162"/>
      <c r="R45" s="32"/>
      <c r="S45" s="26"/>
      <c r="T45" s="27"/>
      <c r="U45" s="27"/>
      <c r="V45" s="188"/>
      <c r="W45" s="69"/>
      <c r="X45" s="66"/>
    </row>
    <row r="46" spans="2:24" ht="15.75" thickBot="1">
      <c r="B46" s="65"/>
      <c r="C46" s="27"/>
      <c r="D46" s="27"/>
      <c r="E46" s="27"/>
      <c r="F46" s="27"/>
      <c r="G46" s="27"/>
      <c r="H46" s="67"/>
      <c r="I46" s="21"/>
      <c r="J46" s="163">
        <f t="shared" si="4"/>
        <v>7</v>
      </c>
      <c r="K46" s="164"/>
      <c r="L46" s="165" t="s">
        <v>75</v>
      </c>
      <c r="M46" s="164"/>
      <c r="N46" s="165"/>
      <c r="O46" s="164"/>
      <c r="P46" s="165" t="s">
        <v>75</v>
      </c>
      <c r="Q46" s="166"/>
      <c r="R46" s="32"/>
      <c r="S46" s="26"/>
      <c r="T46" s="27"/>
      <c r="U46" s="27"/>
      <c r="V46" s="189"/>
      <c r="W46" s="69"/>
      <c r="X46" s="66"/>
    </row>
    <row r="47" spans="2:24">
      <c r="B47" s="65"/>
      <c r="C47" s="27"/>
      <c r="D47" s="27"/>
      <c r="E47" s="27"/>
      <c r="F47" s="27"/>
      <c r="G47" s="27"/>
      <c r="H47" s="67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27"/>
      <c r="U47" s="27"/>
      <c r="V47" s="27"/>
      <c r="W47" s="69"/>
      <c r="X47" s="66"/>
    </row>
    <row r="48" spans="2:24">
      <c r="B48" s="65"/>
      <c r="C48" s="27"/>
      <c r="D48" s="27"/>
      <c r="E48" s="27"/>
      <c r="F48" s="27"/>
      <c r="G48" s="27"/>
      <c r="H48" s="67"/>
      <c r="I48" s="21"/>
      <c r="J48" s="21"/>
      <c r="K48" s="21"/>
      <c r="L48" s="21"/>
      <c r="M48" s="21"/>
      <c r="N48" s="21"/>
      <c r="O48" s="21"/>
      <c r="P48" s="21"/>
      <c r="Q48" s="21"/>
      <c r="R48" s="29"/>
      <c r="S48" s="25"/>
      <c r="T48" s="27"/>
      <c r="U48" s="27"/>
      <c r="V48" s="27"/>
      <c r="W48" s="27"/>
      <c r="X48" s="66"/>
    </row>
    <row r="49" spans="2:24" ht="15.75" thickBot="1">
      <c r="B49" s="71"/>
      <c r="C49" s="28"/>
      <c r="D49" s="28"/>
      <c r="E49" s="28"/>
      <c r="F49" s="28"/>
      <c r="G49" s="28"/>
      <c r="H49" s="73"/>
      <c r="I49" s="74"/>
      <c r="J49" s="74"/>
      <c r="K49" s="74"/>
      <c r="L49" s="74"/>
      <c r="M49" s="74"/>
      <c r="N49" s="74"/>
      <c r="O49" s="74"/>
      <c r="P49" s="74"/>
      <c r="Q49" s="74"/>
      <c r="R49" s="75"/>
      <c r="S49" s="76"/>
      <c r="T49" s="28"/>
      <c r="U49" s="28"/>
      <c r="V49" s="28"/>
      <c r="W49" s="28"/>
      <c r="X49" s="72"/>
    </row>
    <row r="50" spans="2:24"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3"/>
      <c r="S50" s="54"/>
      <c r="T50" s="54"/>
      <c r="U50" s="54"/>
      <c r="V50" s="54"/>
      <c r="W50" s="54"/>
      <c r="X50" s="54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t="13.5" hidden="1" customHeight="1" thickBot="1">
      <c r="B59" s="86"/>
      <c r="C59" s="87"/>
      <c r="D59" s="87"/>
      <c r="E59" s="87"/>
      <c r="F59" s="87"/>
      <c r="G59" s="87"/>
      <c r="H59" s="178"/>
      <c r="I59" s="176"/>
      <c r="J59" s="176"/>
      <c r="K59" s="176"/>
      <c r="L59" s="176"/>
      <c r="M59" s="176"/>
      <c r="N59" s="176"/>
      <c r="O59" s="176"/>
      <c r="P59" s="176"/>
      <c r="Q59" s="176"/>
      <c r="R59" s="177"/>
      <c r="S59" s="179"/>
      <c r="T59" s="87"/>
      <c r="U59" s="87"/>
      <c r="V59" s="87"/>
      <c r="W59" s="87"/>
      <c r="X59" s="88"/>
    </row>
    <row r="60" spans="2:24" ht="15.75" hidden="1" thickBot="1">
      <c r="B60" s="65"/>
      <c r="C60" s="27"/>
      <c r="D60" s="27"/>
      <c r="E60" s="27"/>
      <c r="F60" s="27"/>
      <c r="G60" s="27"/>
      <c r="H60" s="67"/>
      <c r="I60" s="21"/>
      <c r="J60" s="148" t="s">
        <v>27</v>
      </c>
      <c r="K60" s="149"/>
      <c r="L60" s="149"/>
      <c r="M60" s="149"/>
      <c r="N60" s="149"/>
      <c r="O60" s="149"/>
      <c r="P60" s="149"/>
      <c r="Q60" s="150"/>
      <c r="R60" s="32"/>
      <c r="S60" s="26"/>
      <c r="T60" s="27"/>
      <c r="U60" s="27"/>
      <c r="V60" s="68">
        <v>41459</v>
      </c>
      <c r="W60" s="69"/>
      <c r="X60" s="66"/>
    </row>
    <row r="61" spans="2:24" hidden="1">
      <c r="B61" s="65"/>
      <c r="C61" s="27"/>
      <c r="D61" s="27"/>
      <c r="E61" s="27"/>
      <c r="F61" s="27"/>
      <c r="G61" s="27"/>
      <c r="H61" s="67"/>
      <c r="I61" s="21"/>
      <c r="J61" s="1" t="s">
        <v>18</v>
      </c>
      <c r="K61" s="5" t="s">
        <v>28</v>
      </c>
      <c r="L61" s="5" t="s">
        <v>29</v>
      </c>
      <c r="M61" s="5" t="s">
        <v>30</v>
      </c>
      <c r="N61" s="5" t="s">
        <v>31</v>
      </c>
      <c r="O61" s="5" t="s">
        <v>32</v>
      </c>
      <c r="P61" s="5" t="s">
        <v>24</v>
      </c>
      <c r="Q61" s="6" t="s">
        <v>28</v>
      </c>
      <c r="R61" s="32"/>
      <c r="S61" s="26"/>
      <c r="T61" s="27"/>
      <c r="U61" s="27"/>
      <c r="V61" s="68">
        <v>41519</v>
      </c>
      <c r="W61" s="69"/>
      <c r="X61" s="66"/>
    </row>
    <row r="62" spans="2:24" hidden="1">
      <c r="B62" s="65"/>
      <c r="C62" s="27"/>
      <c r="D62" s="27"/>
      <c r="E62" s="27"/>
      <c r="F62" s="27"/>
      <c r="G62" s="27"/>
      <c r="H62" s="67"/>
      <c r="I62" s="21"/>
      <c r="J62" s="7">
        <v>0.5</v>
      </c>
      <c r="K62" s="8">
        <v>0</v>
      </c>
      <c r="L62" s="8">
        <v>9</v>
      </c>
      <c r="M62" s="8">
        <v>13</v>
      </c>
      <c r="N62" s="8">
        <v>14</v>
      </c>
      <c r="O62" s="8">
        <v>13</v>
      </c>
      <c r="P62" s="8">
        <v>9</v>
      </c>
      <c r="Q62" s="9">
        <v>0</v>
      </c>
      <c r="R62" s="32"/>
      <c r="S62" s="26"/>
      <c r="T62" s="27"/>
      <c r="U62" s="27"/>
      <c r="V62" s="68">
        <v>41561</v>
      </c>
      <c r="W62" s="69"/>
      <c r="X62" s="66"/>
    </row>
    <row r="63" spans="2:24" hidden="1">
      <c r="B63" s="65"/>
      <c r="C63" s="27"/>
      <c r="D63" s="27"/>
      <c r="E63" s="27"/>
      <c r="F63" s="27"/>
      <c r="G63" s="27"/>
      <c r="H63" s="67"/>
      <c r="I63" s="21"/>
      <c r="J63" s="7">
        <v>1.5</v>
      </c>
      <c r="K63" s="8">
        <v>0</v>
      </c>
      <c r="L63" s="8">
        <v>10</v>
      </c>
      <c r="M63" s="8">
        <v>10</v>
      </c>
      <c r="N63" s="8">
        <v>10</v>
      </c>
      <c r="O63" s="8">
        <v>11</v>
      </c>
      <c r="P63" s="8">
        <v>12</v>
      </c>
      <c r="Q63" s="9">
        <v>0</v>
      </c>
      <c r="R63" s="32"/>
      <c r="S63" s="26"/>
      <c r="T63" s="27"/>
      <c r="U63" s="27"/>
      <c r="V63" s="68">
        <v>41563</v>
      </c>
      <c r="W63" s="69"/>
      <c r="X63" s="66"/>
    </row>
    <row r="64" spans="2:24" hidden="1">
      <c r="B64" s="65"/>
      <c r="C64" s="27"/>
      <c r="D64" s="27"/>
      <c r="E64" s="27"/>
      <c r="F64" s="27"/>
      <c r="G64" s="27"/>
      <c r="H64" s="67"/>
      <c r="I64" s="21"/>
      <c r="J64" s="7">
        <v>3.5</v>
      </c>
      <c r="K64" s="8">
        <v>0</v>
      </c>
      <c r="L64" s="8">
        <v>15</v>
      </c>
      <c r="M64" s="8">
        <v>15</v>
      </c>
      <c r="N64" s="8">
        <v>10</v>
      </c>
      <c r="O64" s="8">
        <v>10</v>
      </c>
      <c r="P64" s="8">
        <v>10</v>
      </c>
      <c r="Q64" s="9">
        <v>0</v>
      </c>
      <c r="R64" s="29"/>
      <c r="S64" s="25"/>
      <c r="T64" s="27"/>
      <c r="U64" s="27"/>
      <c r="V64" s="68">
        <v>41565</v>
      </c>
      <c r="W64" s="105"/>
      <c r="X64" s="66"/>
    </row>
    <row r="65" spans="2:24" ht="15.75" hidden="1" thickBot="1">
      <c r="B65" s="65"/>
      <c r="C65" s="27"/>
      <c r="D65" s="27"/>
      <c r="E65" s="27"/>
      <c r="F65" s="27"/>
      <c r="G65" s="27"/>
      <c r="H65" s="67"/>
      <c r="I65" s="21"/>
      <c r="J65" s="10">
        <v>4.5</v>
      </c>
      <c r="K65" s="11">
        <v>0</v>
      </c>
      <c r="L65" s="11">
        <v>9</v>
      </c>
      <c r="M65" s="11">
        <v>9</v>
      </c>
      <c r="N65" s="11">
        <v>9</v>
      </c>
      <c r="O65" s="11">
        <v>9</v>
      </c>
      <c r="P65" s="11">
        <v>0</v>
      </c>
      <c r="Q65" s="12">
        <v>0</v>
      </c>
      <c r="R65" s="29"/>
      <c r="S65" s="25"/>
      <c r="T65" s="27"/>
      <c r="U65" s="27"/>
      <c r="V65" s="68">
        <v>41575</v>
      </c>
      <c r="W65" s="105"/>
      <c r="X65" s="66"/>
    </row>
    <row r="66" spans="2:24" ht="15.75" hidden="1" thickBot="1">
      <c r="B66" s="65"/>
      <c r="C66" s="27"/>
      <c r="D66" s="27"/>
      <c r="E66" s="27"/>
      <c r="F66" s="27"/>
      <c r="G66" s="27"/>
      <c r="H66" s="67"/>
      <c r="I66" s="21"/>
      <c r="J66" s="21"/>
      <c r="K66" s="21"/>
      <c r="L66" s="21"/>
      <c r="M66" s="21"/>
      <c r="N66" s="21"/>
      <c r="O66" s="21"/>
      <c r="P66" s="21"/>
      <c r="Q66" s="21"/>
      <c r="R66" s="29"/>
      <c r="S66" s="25"/>
      <c r="T66" s="27"/>
      <c r="U66" s="27"/>
      <c r="V66" s="68">
        <v>41603</v>
      </c>
      <c r="W66" s="105"/>
      <c r="X66" s="66"/>
    </row>
    <row r="67" spans="2:24" ht="15.75" hidden="1" thickBot="1">
      <c r="B67" s="65"/>
      <c r="C67" s="27"/>
      <c r="D67" s="27"/>
      <c r="E67" s="27"/>
      <c r="F67" s="27"/>
      <c r="G67" s="27"/>
      <c r="H67" s="67"/>
      <c r="I67" s="21"/>
      <c r="J67" s="148" t="s">
        <v>33</v>
      </c>
      <c r="K67" s="149"/>
      <c r="L67" s="149"/>
      <c r="M67" s="149"/>
      <c r="N67" s="149"/>
      <c r="O67" s="149"/>
      <c r="P67" s="149"/>
      <c r="Q67" s="150"/>
      <c r="R67" s="29"/>
      <c r="S67" s="25"/>
      <c r="T67" s="27"/>
      <c r="U67" s="27"/>
      <c r="V67" s="68">
        <v>41604</v>
      </c>
      <c r="W67" s="105"/>
      <c r="X67" s="66"/>
    </row>
    <row r="68" spans="2:24" hidden="1">
      <c r="B68" s="65"/>
      <c r="C68" s="27"/>
      <c r="D68" s="27"/>
      <c r="E68" s="27"/>
      <c r="F68" s="27"/>
      <c r="G68" s="27"/>
      <c r="H68" s="67"/>
      <c r="I68" s="21"/>
      <c r="J68" s="1" t="s">
        <v>18</v>
      </c>
      <c r="K68" s="5" t="s">
        <v>28</v>
      </c>
      <c r="L68" s="5" t="s">
        <v>29</v>
      </c>
      <c r="M68" s="5" t="s">
        <v>30</v>
      </c>
      <c r="N68" s="5" t="s">
        <v>31</v>
      </c>
      <c r="O68" s="5" t="s">
        <v>32</v>
      </c>
      <c r="P68" s="5" t="s">
        <v>24</v>
      </c>
      <c r="Q68" s="6" t="s">
        <v>28</v>
      </c>
      <c r="R68" s="29"/>
      <c r="S68" s="25"/>
      <c r="T68" s="27"/>
      <c r="U68" s="27"/>
      <c r="V68" s="68">
        <v>41605</v>
      </c>
      <c r="W68" s="105"/>
      <c r="X68" s="66"/>
    </row>
    <row r="69" spans="2:24" hidden="1">
      <c r="B69" s="65"/>
      <c r="C69" s="27"/>
      <c r="D69" s="27"/>
      <c r="E69" s="27"/>
      <c r="F69" s="27"/>
      <c r="G69" s="27"/>
      <c r="H69" s="67"/>
      <c r="I69" s="21"/>
      <c r="J69" s="2">
        <v>0.5</v>
      </c>
      <c r="K69" s="13">
        <v>0</v>
      </c>
      <c r="L69" s="13" t="s">
        <v>34</v>
      </c>
      <c r="M69" s="13" t="s">
        <v>35</v>
      </c>
      <c r="N69" s="13" t="s">
        <v>36</v>
      </c>
      <c r="O69" s="13" t="s">
        <v>35</v>
      </c>
      <c r="P69" s="13" t="s">
        <v>34</v>
      </c>
      <c r="Q69" s="14">
        <v>0</v>
      </c>
      <c r="R69" s="29"/>
      <c r="S69" s="25"/>
      <c r="T69" s="27"/>
      <c r="U69" s="27"/>
      <c r="V69" s="68">
        <v>41606</v>
      </c>
      <c r="W69" s="105"/>
      <c r="X69" s="66"/>
    </row>
    <row r="70" spans="2:24" hidden="1">
      <c r="B70" s="65"/>
      <c r="C70" s="27"/>
      <c r="D70" s="27"/>
      <c r="E70" s="27"/>
      <c r="F70" s="27"/>
      <c r="G70" s="27"/>
      <c r="H70" s="67"/>
      <c r="I70" s="21"/>
      <c r="J70" s="2">
        <v>1.5</v>
      </c>
      <c r="K70" s="13">
        <v>0</v>
      </c>
      <c r="L70" s="13" t="s">
        <v>37</v>
      </c>
      <c r="M70" s="13" t="s">
        <v>37</v>
      </c>
      <c r="N70" s="13" t="s">
        <v>38</v>
      </c>
      <c r="O70" s="13" t="s">
        <v>39</v>
      </c>
      <c r="P70" s="13" t="s">
        <v>37</v>
      </c>
      <c r="Q70" s="14">
        <v>0</v>
      </c>
      <c r="R70" s="29"/>
      <c r="S70" s="25"/>
      <c r="T70" s="27"/>
      <c r="U70" s="27"/>
      <c r="V70" s="68">
        <v>41607</v>
      </c>
      <c r="W70" s="105"/>
      <c r="X70" s="66"/>
    </row>
    <row r="71" spans="2:24" hidden="1">
      <c r="B71" s="65"/>
      <c r="C71" s="27"/>
      <c r="D71" s="27"/>
      <c r="E71" s="27"/>
      <c r="F71" s="27"/>
      <c r="G71" s="27"/>
      <c r="H71" s="67"/>
      <c r="I71" s="21"/>
      <c r="J71" s="2">
        <v>3.5</v>
      </c>
      <c r="K71" s="13">
        <v>0</v>
      </c>
      <c r="L71" s="13" t="s">
        <v>40</v>
      </c>
      <c r="M71" s="13" t="s">
        <v>40</v>
      </c>
      <c r="N71" s="13" t="s">
        <v>41</v>
      </c>
      <c r="O71" s="13" t="s">
        <v>41</v>
      </c>
      <c r="P71" s="13" t="s">
        <v>42</v>
      </c>
      <c r="Q71" s="14">
        <v>0</v>
      </c>
      <c r="R71" s="29"/>
      <c r="S71" s="25"/>
      <c r="T71" s="27"/>
      <c r="U71" s="27"/>
      <c r="V71" s="68">
        <v>41622</v>
      </c>
      <c r="W71" s="105"/>
      <c r="X71" s="66"/>
    </row>
    <row r="72" spans="2:24" hidden="1">
      <c r="B72" s="65"/>
      <c r="C72" s="27"/>
      <c r="D72" s="27"/>
      <c r="E72" s="27"/>
      <c r="F72" s="27"/>
      <c r="G72" s="27"/>
      <c r="H72" s="67"/>
      <c r="I72" s="21"/>
      <c r="J72" s="2">
        <v>4.5</v>
      </c>
      <c r="K72" s="13">
        <v>0</v>
      </c>
      <c r="L72" s="13" t="s">
        <v>43</v>
      </c>
      <c r="M72" s="13" t="s">
        <v>43</v>
      </c>
      <c r="N72" s="13" t="s">
        <v>43</v>
      </c>
      <c r="O72" s="13" t="s">
        <v>43</v>
      </c>
      <c r="P72" s="13">
        <v>0</v>
      </c>
      <c r="Q72" s="14">
        <v>0</v>
      </c>
      <c r="R72" s="29"/>
      <c r="S72" s="25"/>
      <c r="T72" s="27"/>
      <c r="U72" s="27"/>
      <c r="V72" s="68">
        <v>41623</v>
      </c>
      <c r="W72" s="105"/>
      <c r="X72" s="66"/>
    </row>
    <row r="73" spans="2:24" hidden="1">
      <c r="B73" s="65"/>
      <c r="C73" s="27"/>
      <c r="D73" s="27"/>
      <c r="E73" s="27"/>
      <c r="F73" s="27"/>
      <c r="G73" s="27"/>
      <c r="H73" s="67"/>
      <c r="I73" s="21"/>
      <c r="J73" s="2">
        <v>1</v>
      </c>
      <c r="K73" s="13">
        <v>0</v>
      </c>
      <c r="L73" s="13" t="s">
        <v>44</v>
      </c>
      <c r="M73" s="13" t="s">
        <v>44</v>
      </c>
      <c r="N73" s="13" t="s">
        <v>45</v>
      </c>
      <c r="O73" s="13" t="s">
        <v>44</v>
      </c>
      <c r="P73" s="13" t="s">
        <v>44</v>
      </c>
      <c r="Q73" s="14">
        <v>0</v>
      </c>
      <c r="R73" s="29"/>
      <c r="S73" s="25"/>
      <c r="T73" s="27"/>
      <c r="U73" s="27"/>
      <c r="V73" s="68">
        <v>41624</v>
      </c>
      <c r="W73" s="105"/>
      <c r="X73" s="66"/>
    </row>
    <row r="74" spans="2:24" hidden="1">
      <c r="B74" s="65"/>
      <c r="C74" s="27"/>
      <c r="D74" s="27"/>
      <c r="E74" s="27"/>
      <c r="F74" s="27"/>
      <c r="G74" s="27"/>
      <c r="H74" s="67"/>
      <c r="I74" s="21"/>
      <c r="J74" s="2">
        <v>2</v>
      </c>
      <c r="K74" s="13">
        <v>0</v>
      </c>
      <c r="L74" s="13" t="s">
        <v>46</v>
      </c>
      <c r="M74" s="13" t="s">
        <v>46</v>
      </c>
      <c r="N74" s="13" t="s">
        <v>47</v>
      </c>
      <c r="O74" s="13" t="s">
        <v>47</v>
      </c>
      <c r="P74" s="13" t="s">
        <v>46</v>
      </c>
      <c r="Q74" s="14">
        <v>0</v>
      </c>
      <c r="R74" s="29"/>
      <c r="S74" s="25"/>
      <c r="T74" s="27"/>
      <c r="U74" s="27"/>
      <c r="V74" s="68">
        <v>41625</v>
      </c>
      <c r="W74" s="105"/>
      <c r="X74" s="66"/>
    </row>
    <row r="75" spans="2:24" hidden="1">
      <c r="B75" s="65"/>
      <c r="C75" s="27"/>
      <c r="D75" s="27"/>
      <c r="E75" s="27"/>
      <c r="F75" s="27"/>
      <c r="G75" s="27"/>
      <c r="H75" s="67"/>
      <c r="I75" s="21"/>
      <c r="J75" s="2">
        <v>3</v>
      </c>
      <c r="K75" s="13">
        <v>0</v>
      </c>
      <c r="L75" s="13" t="s">
        <v>48</v>
      </c>
      <c r="M75" s="13" t="s">
        <v>48</v>
      </c>
      <c r="N75" s="13" t="s">
        <v>49</v>
      </c>
      <c r="O75" s="13" t="s">
        <v>49</v>
      </c>
      <c r="P75" s="13" t="s">
        <v>48</v>
      </c>
      <c r="Q75" s="14">
        <v>0</v>
      </c>
      <c r="R75" s="29"/>
      <c r="S75" s="25"/>
      <c r="T75" s="27"/>
      <c r="U75" s="27"/>
      <c r="V75" s="68">
        <v>41626</v>
      </c>
      <c r="W75" s="105"/>
      <c r="X75" s="66"/>
    </row>
    <row r="76" spans="2:24" ht="15.75" hidden="1" thickBot="1">
      <c r="B76" s="65"/>
      <c r="C76" s="27"/>
      <c r="D76" s="27"/>
      <c r="E76" s="27"/>
      <c r="F76" s="27"/>
      <c r="G76" s="27"/>
      <c r="H76" s="67"/>
      <c r="I76" s="21"/>
      <c r="J76" s="3">
        <v>4</v>
      </c>
      <c r="K76" s="15">
        <v>0</v>
      </c>
      <c r="L76" s="15" t="s">
        <v>50</v>
      </c>
      <c r="M76" s="15" t="s">
        <v>50</v>
      </c>
      <c r="N76" s="15" t="s">
        <v>50</v>
      </c>
      <c r="O76" s="15" t="s">
        <v>50</v>
      </c>
      <c r="P76" s="15" t="s">
        <v>51</v>
      </c>
      <c r="Q76" s="16">
        <v>0</v>
      </c>
      <c r="R76" s="29"/>
      <c r="S76" s="25"/>
      <c r="T76" s="27"/>
      <c r="U76" s="27"/>
      <c r="V76" s="68">
        <v>41627</v>
      </c>
      <c r="W76" s="105"/>
      <c r="X76" s="66"/>
    </row>
    <row r="77" spans="2:24" ht="15.75" hidden="1" thickBot="1">
      <c r="B77" s="65"/>
      <c r="C77" s="27"/>
      <c r="D77" s="27"/>
      <c r="E77" s="27"/>
      <c r="F77" s="27"/>
      <c r="G77" s="27"/>
      <c r="H77" s="67"/>
      <c r="I77" s="21"/>
      <c r="J77" s="21"/>
      <c r="K77" s="21"/>
      <c r="L77" s="21"/>
      <c r="M77" s="21"/>
      <c r="N77" s="21"/>
      <c r="O77" s="21"/>
      <c r="P77" s="21"/>
      <c r="Q77" s="21"/>
      <c r="R77" s="29"/>
      <c r="S77" s="25"/>
      <c r="T77" s="27"/>
      <c r="U77" s="27"/>
      <c r="V77" s="68">
        <v>41628</v>
      </c>
      <c r="W77" s="105"/>
      <c r="X77" s="66"/>
    </row>
    <row r="78" spans="2:24" ht="15.75" hidden="1" thickBot="1">
      <c r="B78" s="65"/>
      <c r="C78" s="27"/>
      <c r="D78" s="27"/>
      <c r="E78" s="27"/>
      <c r="F78" s="27"/>
      <c r="G78" s="27"/>
      <c r="H78" s="67"/>
      <c r="I78" s="21"/>
      <c r="J78" s="148" t="s">
        <v>76</v>
      </c>
      <c r="K78" s="149"/>
      <c r="L78" s="149"/>
      <c r="M78" s="149"/>
      <c r="N78" s="149"/>
      <c r="O78" s="149"/>
      <c r="P78" s="149"/>
      <c r="Q78" s="150"/>
      <c r="R78" s="29"/>
      <c r="S78" s="25"/>
      <c r="T78" s="27"/>
      <c r="U78" s="27"/>
      <c r="V78" s="68">
        <v>41629</v>
      </c>
      <c r="W78" s="105"/>
      <c r="X78" s="66"/>
    </row>
    <row r="79" spans="2:24" hidden="1">
      <c r="B79" s="65"/>
      <c r="C79" s="27"/>
      <c r="D79" s="27"/>
      <c r="E79" s="27"/>
      <c r="F79" s="27"/>
      <c r="G79" s="27"/>
      <c r="H79" s="67"/>
      <c r="I79" s="21"/>
      <c r="J79" s="109" t="s">
        <v>18</v>
      </c>
      <c r="K79" s="110">
        <v>1</v>
      </c>
      <c r="L79" s="110">
        <v>2</v>
      </c>
      <c r="M79" s="110">
        <v>3</v>
      </c>
      <c r="N79" s="110">
        <v>4</v>
      </c>
      <c r="O79" s="110">
        <v>5</v>
      </c>
      <c r="P79" s="110">
        <v>6</v>
      </c>
      <c r="Q79" s="111">
        <v>7</v>
      </c>
      <c r="R79" s="29"/>
      <c r="S79" s="25"/>
      <c r="T79" s="27"/>
      <c r="U79" s="27"/>
      <c r="V79" s="68">
        <v>41630</v>
      </c>
      <c r="W79" s="105"/>
      <c r="X79" s="66"/>
    </row>
    <row r="80" spans="2:24" hidden="1">
      <c r="B80" s="65"/>
      <c r="C80" s="27"/>
      <c r="D80" s="27"/>
      <c r="E80" s="27"/>
      <c r="F80" s="27"/>
      <c r="G80" s="27"/>
      <c r="H80" s="67"/>
      <c r="I80" s="21"/>
      <c r="J80" s="107">
        <v>1</v>
      </c>
      <c r="K80" s="180">
        <v>1</v>
      </c>
      <c r="L80" s="180">
        <v>5</v>
      </c>
      <c r="M80" s="180">
        <v>2</v>
      </c>
      <c r="N80" s="180">
        <v>6</v>
      </c>
      <c r="O80" s="180">
        <v>3</v>
      </c>
      <c r="P80" s="180">
        <v>7</v>
      </c>
      <c r="Q80" s="181">
        <v>4</v>
      </c>
      <c r="R80" s="29"/>
      <c r="S80" s="25"/>
      <c r="T80" s="27"/>
      <c r="U80" s="27"/>
      <c r="V80" s="68">
        <v>41631</v>
      </c>
      <c r="W80" s="105"/>
      <c r="X80" s="66"/>
    </row>
    <row r="81" spans="2:24" hidden="1">
      <c r="B81" s="65"/>
      <c r="C81" s="27"/>
      <c r="D81" s="27"/>
      <c r="E81" s="27"/>
      <c r="F81" s="27"/>
      <c r="G81" s="27"/>
      <c r="H81" s="67"/>
      <c r="I81" s="21"/>
      <c r="J81" s="107">
        <v>2</v>
      </c>
      <c r="K81" s="180">
        <v>2</v>
      </c>
      <c r="L81" s="180">
        <v>6</v>
      </c>
      <c r="M81" s="180">
        <v>3</v>
      </c>
      <c r="N81" s="180">
        <v>7</v>
      </c>
      <c r="O81" s="180">
        <v>4</v>
      </c>
      <c r="P81" s="180">
        <v>1</v>
      </c>
      <c r="Q81" s="181">
        <v>5</v>
      </c>
      <c r="R81" s="29"/>
      <c r="S81" s="25"/>
      <c r="T81" s="27"/>
      <c r="U81" s="27"/>
      <c r="V81" s="68">
        <v>41632</v>
      </c>
      <c r="W81" s="105"/>
      <c r="X81" s="66"/>
    </row>
    <row r="82" spans="2:24" hidden="1">
      <c r="B82" s="65"/>
      <c r="C82" s="27"/>
      <c r="D82" s="27"/>
      <c r="E82" s="27"/>
      <c r="F82" s="27"/>
      <c r="G82" s="27"/>
      <c r="H82" s="67"/>
      <c r="I82" s="21"/>
      <c r="J82" s="107">
        <v>3</v>
      </c>
      <c r="K82" s="180">
        <v>3</v>
      </c>
      <c r="L82" s="180">
        <v>7</v>
      </c>
      <c r="M82" s="180">
        <v>4</v>
      </c>
      <c r="N82" s="180">
        <v>1</v>
      </c>
      <c r="O82" s="180">
        <v>5</v>
      </c>
      <c r="P82" s="180">
        <v>2</v>
      </c>
      <c r="Q82" s="181">
        <v>6</v>
      </c>
      <c r="R82" s="29"/>
      <c r="S82" s="25"/>
      <c r="T82" s="27"/>
      <c r="U82" s="27"/>
      <c r="V82" s="68">
        <v>41633</v>
      </c>
      <c r="W82" s="105"/>
      <c r="X82" s="66"/>
    </row>
    <row r="83" spans="2:24" ht="15.75" hidden="1" thickBot="1">
      <c r="B83" s="65"/>
      <c r="C83" s="27"/>
      <c r="D83" s="27"/>
      <c r="E83" s="27"/>
      <c r="F83" s="27"/>
      <c r="G83" s="27"/>
      <c r="H83" s="67"/>
      <c r="I83" s="21"/>
      <c r="J83" s="114">
        <v>4</v>
      </c>
      <c r="K83" s="182">
        <v>4</v>
      </c>
      <c r="L83" s="182">
        <v>1</v>
      </c>
      <c r="M83" s="182">
        <v>5</v>
      </c>
      <c r="N83" s="182">
        <v>2</v>
      </c>
      <c r="O83" s="182">
        <v>6</v>
      </c>
      <c r="P83" s="182">
        <v>3</v>
      </c>
      <c r="Q83" s="183">
        <v>7</v>
      </c>
      <c r="R83" s="29"/>
      <c r="S83" s="25"/>
      <c r="T83" s="27"/>
      <c r="U83" s="27"/>
      <c r="V83" s="68">
        <v>41634</v>
      </c>
      <c r="W83" s="105"/>
      <c r="X83" s="66"/>
    </row>
    <row r="84" spans="2:24" ht="15.75" hidden="1" thickBot="1">
      <c r="B84" s="65"/>
      <c r="C84" s="27"/>
      <c r="D84" s="27"/>
      <c r="E84" s="27"/>
      <c r="F84" s="27"/>
      <c r="G84" s="27"/>
      <c r="H84" s="67"/>
      <c r="I84" s="21"/>
      <c r="J84" s="21"/>
      <c r="K84" s="21"/>
      <c r="L84" s="21"/>
      <c r="M84" s="21"/>
      <c r="N84" s="21"/>
      <c r="O84" s="21"/>
      <c r="P84" s="21"/>
      <c r="Q84" s="21"/>
      <c r="R84" s="29"/>
      <c r="S84" s="25"/>
      <c r="T84" s="27"/>
      <c r="U84" s="27"/>
      <c r="V84" s="68">
        <v>41635</v>
      </c>
      <c r="W84" s="105"/>
      <c r="X84" s="66"/>
    </row>
    <row r="85" spans="2:24" ht="15.75" hidden="1" thickBot="1">
      <c r="B85" s="65"/>
      <c r="C85" s="27"/>
      <c r="D85" s="27"/>
      <c r="E85" s="27"/>
      <c r="F85" s="27"/>
      <c r="G85" s="27"/>
      <c r="H85" s="67"/>
      <c r="I85" s="21"/>
      <c r="J85" s="148" t="s">
        <v>77</v>
      </c>
      <c r="K85" s="149"/>
      <c r="L85" s="149"/>
      <c r="M85" s="149"/>
      <c r="N85" s="149"/>
      <c r="O85" s="149"/>
      <c r="P85" s="149"/>
      <c r="Q85" s="150"/>
      <c r="R85" s="29"/>
      <c r="S85" s="25"/>
      <c r="T85" s="27"/>
      <c r="U85" s="27"/>
      <c r="V85" s="68">
        <v>41636</v>
      </c>
      <c r="W85" s="105"/>
      <c r="X85" s="66"/>
    </row>
    <row r="86" spans="2:24" hidden="1">
      <c r="B86" s="65"/>
      <c r="C86" s="27"/>
      <c r="D86" s="27"/>
      <c r="E86" s="27"/>
      <c r="F86" s="27"/>
      <c r="G86" s="27"/>
      <c r="H86" s="67"/>
      <c r="I86" s="21"/>
      <c r="J86" s="109" t="s">
        <v>18</v>
      </c>
      <c r="K86" s="110" t="s">
        <v>19</v>
      </c>
      <c r="L86" s="110" t="s">
        <v>20</v>
      </c>
      <c r="M86" s="110" t="s">
        <v>21</v>
      </c>
      <c r="N86" s="110" t="s">
        <v>22</v>
      </c>
      <c r="O86" s="110" t="s">
        <v>23</v>
      </c>
      <c r="P86" s="110" t="s">
        <v>24</v>
      </c>
      <c r="Q86" s="111" t="s">
        <v>25</v>
      </c>
      <c r="R86" s="29"/>
      <c r="S86" s="25"/>
      <c r="T86" s="27"/>
      <c r="U86" s="27"/>
      <c r="V86" s="68">
        <v>41637</v>
      </c>
      <c r="W86" s="105"/>
      <c r="X86" s="66"/>
    </row>
    <row r="87" spans="2:24" hidden="1">
      <c r="B87" s="65"/>
      <c r="C87" s="27"/>
      <c r="D87" s="27"/>
      <c r="E87" s="27"/>
      <c r="F87" s="27"/>
      <c r="G87" s="27"/>
      <c r="H87" s="67"/>
      <c r="I87" s="21"/>
      <c r="J87" s="107">
        <v>1</v>
      </c>
      <c r="K87" s="184">
        <f t="shared" ref="K87:Q90" si="5">IF(INDEX($K$9:$Q$15, K80, K$79)&lt;&gt;0, 8, K80)</f>
        <v>1</v>
      </c>
      <c r="L87" s="184">
        <f t="shared" si="5"/>
        <v>5</v>
      </c>
      <c r="M87" s="184">
        <f t="shared" si="5"/>
        <v>2</v>
      </c>
      <c r="N87" s="184">
        <f t="shared" si="5"/>
        <v>6</v>
      </c>
      <c r="O87" s="184">
        <f t="shared" si="5"/>
        <v>3</v>
      </c>
      <c r="P87" s="184">
        <f t="shared" si="5"/>
        <v>7</v>
      </c>
      <c r="Q87" s="184">
        <f t="shared" si="5"/>
        <v>4</v>
      </c>
      <c r="R87" s="29"/>
      <c r="S87" s="25"/>
      <c r="T87" s="27"/>
      <c r="U87" s="27"/>
      <c r="V87" s="68">
        <v>41638</v>
      </c>
      <c r="W87" s="105"/>
      <c r="X87" s="66"/>
    </row>
    <row r="88" spans="2:24" hidden="1">
      <c r="B88" s="65"/>
      <c r="C88" s="27"/>
      <c r="D88" s="27"/>
      <c r="E88" s="27"/>
      <c r="F88" s="27"/>
      <c r="G88" s="27"/>
      <c r="H88" s="67"/>
      <c r="I88" s="21"/>
      <c r="J88" s="107">
        <v>2</v>
      </c>
      <c r="K88" s="184">
        <f t="shared" si="5"/>
        <v>2</v>
      </c>
      <c r="L88" s="184">
        <f t="shared" si="5"/>
        <v>6</v>
      </c>
      <c r="M88" s="184">
        <f t="shared" si="5"/>
        <v>3</v>
      </c>
      <c r="N88" s="184">
        <f t="shared" si="5"/>
        <v>7</v>
      </c>
      <c r="O88" s="184">
        <f t="shared" si="5"/>
        <v>4</v>
      </c>
      <c r="P88" s="184">
        <f t="shared" si="5"/>
        <v>1</v>
      </c>
      <c r="Q88" s="184">
        <f t="shared" si="5"/>
        <v>5</v>
      </c>
      <c r="R88" s="29"/>
      <c r="S88" s="25"/>
      <c r="T88" s="27"/>
      <c r="U88" s="27"/>
      <c r="V88" s="68">
        <v>41639</v>
      </c>
      <c r="W88" s="105"/>
      <c r="X88" s="66"/>
    </row>
    <row r="89" spans="2:24" hidden="1">
      <c r="B89" s="65"/>
      <c r="C89" s="27"/>
      <c r="D89" s="27"/>
      <c r="E89" s="27"/>
      <c r="F89" s="27"/>
      <c r="G89" s="27"/>
      <c r="H89" s="67"/>
      <c r="I89" s="21"/>
      <c r="J89" s="107">
        <v>3</v>
      </c>
      <c r="K89" s="184">
        <f t="shared" si="5"/>
        <v>3</v>
      </c>
      <c r="L89" s="184">
        <f t="shared" si="5"/>
        <v>7</v>
      </c>
      <c r="M89" s="184">
        <f t="shared" si="5"/>
        <v>4</v>
      </c>
      <c r="N89" s="184">
        <f t="shared" si="5"/>
        <v>1</v>
      </c>
      <c r="O89" s="184">
        <f t="shared" si="5"/>
        <v>5</v>
      </c>
      <c r="P89" s="184">
        <f t="shared" si="5"/>
        <v>2</v>
      </c>
      <c r="Q89" s="184">
        <f t="shared" si="5"/>
        <v>6</v>
      </c>
      <c r="R89" s="29"/>
      <c r="S89" s="25"/>
      <c r="T89" s="27"/>
      <c r="U89" s="27"/>
      <c r="V89" s="68">
        <v>41640</v>
      </c>
      <c r="W89" s="105"/>
      <c r="X89" s="66"/>
    </row>
    <row r="90" spans="2:24" ht="15.75" hidden="1" thickBot="1">
      <c r="B90" s="65"/>
      <c r="C90" s="27"/>
      <c r="D90" s="27"/>
      <c r="E90" s="27"/>
      <c r="F90" s="27"/>
      <c r="G90" s="27"/>
      <c r="H90" s="67"/>
      <c r="I90" s="21"/>
      <c r="J90" s="114">
        <v>4</v>
      </c>
      <c r="K90" s="184">
        <f t="shared" si="5"/>
        <v>4</v>
      </c>
      <c r="L90" s="184">
        <f t="shared" si="5"/>
        <v>1</v>
      </c>
      <c r="M90" s="184">
        <f t="shared" si="5"/>
        <v>5</v>
      </c>
      <c r="N90" s="184">
        <f t="shared" si="5"/>
        <v>2</v>
      </c>
      <c r="O90" s="184">
        <f t="shared" si="5"/>
        <v>6</v>
      </c>
      <c r="P90" s="184">
        <f t="shared" si="5"/>
        <v>3</v>
      </c>
      <c r="Q90" s="184">
        <f t="shared" si="5"/>
        <v>7</v>
      </c>
      <c r="R90" s="29"/>
      <c r="S90" s="25"/>
      <c r="T90" s="27"/>
      <c r="U90" s="27"/>
      <c r="V90" s="68">
        <v>41641</v>
      </c>
      <c r="W90" s="105"/>
      <c r="X90" s="66"/>
    </row>
    <row r="91" spans="2:24" hidden="1">
      <c r="B91" s="65"/>
      <c r="C91" s="27"/>
      <c r="D91" s="27"/>
      <c r="E91" s="27"/>
      <c r="F91" s="27"/>
      <c r="G91" s="27"/>
      <c r="H91" s="67"/>
      <c r="I91" s="21"/>
      <c r="J91" s="21"/>
      <c r="K91" s="21"/>
      <c r="L91" s="21"/>
      <c r="M91" s="21"/>
      <c r="N91" s="21"/>
      <c r="O91" s="21"/>
      <c r="P91" s="21"/>
      <c r="Q91" s="21"/>
      <c r="R91" s="29"/>
      <c r="S91" s="25"/>
      <c r="T91" s="27"/>
      <c r="U91" s="27"/>
      <c r="V91" s="68">
        <v>41642</v>
      </c>
      <c r="W91" s="105"/>
      <c r="X91" s="66"/>
    </row>
    <row r="92" spans="2:24" hidden="1">
      <c r="B92" s="65"/>
      <c r="C92" s="27"/>
      <c r="D92" s="27"/>
      <c r="E92" s="27"/>
      <c r="F92" s="27"/>
      <c r="G92" s="27"/>
      <c r="H92" s="67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8">
        <v>41643</v>
      </c>
      <c r="W92" s="105"/>
      <c r="X92" s="66"/>
    </row>
    <row r="93" spans="2:24" hidden="1">
      <c r="B93" s="65"/>
      <c r="C93" s="27"/>
      <c r="D93" s="27"/>
      <c r="E93" s="27"/>
      <c r="F93" s="27"/>
      <c r="G93" s="27"/>
      <c r="H93" s="67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8">
        <v>41644</v>
      </c>
      <c r="W93" s="105"/>
      <c r="X93" s="66"/>
    </row>
    <row r="94" spans="2:24" hidden="1">
      <c r="B94" s="65"/>
      <c r="C94" s="27"/>
      <c r="D94" s="27"/>
      <c r="E94" s="27"/>
      <c r="F94" s="27"/>
      <c r="G94" s="27"/>
      <c r="H94" s="67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8">
        <v>41659</v>
      </c>
      <c r="W94" s="105"/>
      <c r="X94" s="66"/>
    </row>
    <row r="95" spans="2:24" hidden="1">
      <c r="B95" s="65"/>
      <c r="C95" s="27"/>
      <c r="D95" s="27"/>
      <c r="E95" s="27"/>
      <c r="F95" s="27"/>
      <c r="G95" s="27"/>
      <c r="H95" s="67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8">
        <v>41687</v>
      </c>
      <c r="W95" s="105"/>
      <c r="X95" s="66"/>
    </row>
    <row r="96" spans="2:24" hidden="1">
      <c r="B96" s="65"/>
      <c r="C96" s="27"/>
      <c r="D96" s="27"/>
      <c r="E96" s="27"/>
      <c r="F96" s="27"/>
      <c r="G96" s="27"/>
      <c r="H96" s="67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8">
        <v>41706</v>
      </c>
      <c r="W96" s="105"/>
      <c r="X96" s="66"/>
    </row>
    <row r="97" spans="2:24" hidden="1">
      <c r="B97" s="65"/>
      <c r="C97" s="27"/>
      <c r="D97" s="27"/>
      <c r="E97" s="27"/>
      <c r="F97" s="27"/>
      <c r="G97" s="27"/>
      <c r="H97" s="67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8">
        <v>41707</v>
      </c>
      <c r="W97" s="105"/>
      <c r="X97" s="66"/>
    </row>
    <row r="98" spans="2:24" hidden="1">
      <c r="B98" s="65"/>
      <c r="C98" s="27"/>
      <c r="D98" s="27"/>
      <c r="E98" s="27"/>
      <c r="F98" s="27"/>
      <c r="G98" s="27"/>
      <c r="H98" s="67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8">
        <v>41708</v>
      </c>
      <c r="W98" s="105"/>
      <c r="X98" s="66"/>
    </row>
    <row r="99" spans="2:24" hidden="1">
      <c r="B99" s="65"/>
      <c r="C99" s="27"/>
      <c r="D99" s="27"/>
      <c r="E99" s="27"/>
      <c r="F99" s="27"/>
      <c r="G99" s="27"/>
      <c r="H99" s="67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8">
        <v>41709</v>
      </c>
      <c r="W99" s="105"/>
      <c r="X99" s="66"/>
    </row>
    <row r="100" spans="2:24" hidden="1">
      <c r="B100" s="65"/>
      <c r="C100" s="27"/>
      <c r="D100" s="27"/>
      <c r="E100" s="27"/>
      <c r="F100" s="27"/>
      <c r="G100" s="27"/>
      <c r="H100" s="67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8">
        <v>41710</v>
      </c>
      <c r="W100" s="105"/>
      <c r="X100" s="66"/>
    </row>
    <row r="101" spans="2:24" hidden="1">
      <c r="B101" s="65"/>
      <c r="C101" s="27"/>
      <c r="D101" s="27"/>
      <c r="E101" s="27"/>
      <c r="F101" s="27"/>
      <c r="G101" s="27"/>
      <c r="H101" s="67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8">
        <v>41711</v>
      </c>
      <c r="W101" s="105"/>
      <c r="X101" s="66"/>
    </row>
    <row r="102" spans="2:24" hidden="1">
      <c r="B102" s="65"/>
      <c r="C102" s="27"/>
      <c r="D102" s="27"/>
      <c r="E102" s="27"/>
      <c r="F102" s="27"/>
      <c r="G102" s="27"/>
      <c r="H102" s="67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8">
        <v>41712</v>
      </c>
      <c r="W102" s="105"/>
      <c r="X102" s="66"/>
    </row>
    <row r="103" spans="2:24" hidden="1">
      <c r="B103" s="65"/>
      <c r="C103" s="27"/>
      <c r="D103" s="27"/>
      <c r="E103" s="27"/>
      <c r="F103" s="27"/>
      <c r="G103" s="27"/>
      <c r="H103" s="67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8">
        <v>41713</v>
      </c>
      <c r="W103" s="105"/>
      <c r="X103" s="66"/>
    </row>
    <row r="104" spans="2:24" hidden="1">
      <c r="B104" s="65"/>
      <c r="C104" s="27"/>
      <c r="D104" s="27"/>
      <c r="E104" s="27"/>
      <c r="F104" s="27"/>
      <c r="G104" s="27"/>
      <c r="H104" s="67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8">
        <v>41714</v>
      </c>
      <c r="W104" s="105"/>
      <c r="X104" s="66"/>
    </row>
    <row r="105" spans="2:24" hidden="1">
      <c r="B105" s="65"/>
      <c r="C105" s="27"/>
      <c r="D105" s="27"/>
      <c r="E105" s="27"/>
      <c r="F105" s="27"/>
      <c r="G105" s="27"/>
      <c r="H105" s="67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8">
        <v>41747</v>
      </c>
      <c r="W105" s="105"/>
      <c r="X105" s="66"/>
    </row>
    <row r="106" spans="2:24" hidden="1">
      <c r="B106" s="65"/>
      <c r="C106" s="27"/>
      <c r="D106" s="27"/>
      <c r="E106" s="27"/>
      <c r="F106" s="27"/>
      <c r="G106" s="27"/>
      <c r="H106" s="67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8">
        <v>41748</v>
      </c>
      <c r="W106" s="105"/>
      <c r="X106" s="66"/>
    </row>
    <row r="107" spans="2:24" hidden="1">
      <c r="B107" s="65"/>
      <c r="C107" s="27"/>
      <c r="D107" s="27"/>
      <c r="E107" s="27"/>
      <c r="F107" s="27"/>
      <c r="G107" s="27"/>
      <c r="H107" s="67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8">
        <v>41749</v>
      </c>
      <c r="W107" s="105"/>
      <c r="X107" s="66"/>
    </row>
    <row r="108" spans="2:24" hidden="1">
      <c r="B108" s="65"/>
      <c r="C108" s="27"/>
      <c r="D108" s="27"/>
      <c r="E108" s="27"/>
      <c r="F108" s="27"/>
      <c r="G108" s="27"/>
      <c r="H108" s="67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8">
        <v>41750</v>
      </c>
      <c r="W108" s="105"/>
      <c r="X108" s="66"/>
    </row>
    <row r="109" spans="2:24" hidden="1">
      <c r="B109" s="65"/>
      <c r="C109" s="27"/>
      <c r="D109" s="27"/>
      <c r="E109" s="27"/>
      <c r="F109" s="27"/>
      <c r="G109" s="27"/>
      <c r="H109" s="67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185"/>
      <c r="W109" s="105"/>
      <c r="X109" s="66"/>
    </row>
    <row r="110" spans="2:24" hidden="1">
      <c r="B110" s="65"/>
      <c r="C110" s="27"/>
      <c r="D110" s="27"/>
      <c r="E110" s="27"/>
      <c r="F110" s="27"/>
      <c r="G110" s="27"/>
      <c r="H110" s="67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85"/>
      <c r="W110" s="105"/>
      <c r="X110" s="66"/>
    </row>
    <row r="111" spans="2:24" hidden="1">
      <c r="B111" s="65"/>
      <c r="C111" s="27"/>
      <c r="D111" s="27"/>
      <c r="E111" s="27"/>
      <c r="F111" s="27"/>
      <c r="G111" s="27"/>
      <c r="H111" s="67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85"/>
      <c r="W111" s="105"/>
      <c r="X111" s="66"/>
    </row>
    <row r="112" spans="2:24" hidden="1">
      <c r="B112" s="65"/>
      <c r="C112" s="27"/>
      <c r="D112" s="27"/>
      <c r="E112" s="27"/>
      <c r="F112" s="27"/>
      <c r="G112" s="27"/>
      <c r="H112" s="67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85"/>
      <c r="W112" s="105"/>
      <c r="X112" s="66"/>
    </row>
    <row r="113" spans="2:24" hidden="1">
      <c r="B113" s="65"/>
      <c r="C113" s="27"/>
      <c r="D113" s="27"/>
      <c r="E113" s="27"/>
      <c r="F113" s="27"/>
      <c r="G113" s="27"/>
      <c r="H113" s="67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85"/>
      <c r="W113" s="105"/>
      <c r="X113" s="66"/>
    </row>
    <row r="114" spans="2:24" hidden="1">
      <c r="B114" s="65"/>
      <c r="C114" s="27"/>
      <c r="D114" s="27"/>
      <c r="E114" s="27"/>
      <c r="F114" s="27"/>
      <c r="G114" s="27"/>
      <c r="H114" s="67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85"/>
      <c r="W114" s="105"/>
      <c r="X114" s="66"/>
    </row>
    <row r="115" spans="2:24" hidden="1">
      <c r="B115" s="65"/>
      <c r="C115" s="27"/>
      <c r="D115" s="27"/>
      <c r="E115" s="27"/>
      <c r="F115" s="27"/>
      <c r="G115" s="27"/>
      <c r="H115" s="67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85"/>
      <c r="W115" s="105"/>
      <c r="X115" s="66"/>
    </row>
    <row r="116" spans="2:24" hidden="1">
      <c r="B116" s="65"/>
      <c r="C116" s="27"/>
      <c r="D116" s="27"/>
      <c r="E116" s="27"/>
      <c r="F116" s="27"/>
      <c r="G116" s="27"/>
      <c r="H116" s="67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85"/>
      <c r="W116" s="105"/>
      <c r="X116" s="66"/>
    </row>
    <row r="117" spans="2:24" hidden="1">
      <c r="B117" s="65"/>
      <c r="C117" s="27"/>
      <c r="D117" s="27"/>
      <c r="E117" s="27"/>
      <c r="F117" s="27"/>
      <c r="G117" s="27"/>
      <c r="H117" s="67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85"/>
      <c r="W117" s="105"/>
      <c r="X117" s="66"/>
    </row>
    <row r="118" spans="2:24" hidden="1">
      <c r="B118" s="65"/>
      <c r="C118" s="27"/>
      <c r="D118" s="27"/>
      <c r="E118" s="27"/>
      <c r="F118" s="27"/>
      <c r="G118" s="27"/>
      <c r="H118" s="67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85"/>
      <c r="W118" s="105"/>
      <c r="X118" s="66"/>
    </row>
    <row r="119" spans="2:24" hidden="1">
      <c r="B119" s="65"/>
      <c r="C119" s="27"/>
      <c r="D119" s="27"/>
      <c r="E119" s="27"/>
      <c r="F119" s="27"/>
      <c r="G119" s="27"/>
      <c r="H119" s="67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85"/>
      <c r="W119" s="105"/>
      <c r="X119" s="66"/>
    </row>
    <row r="120" spans="2:24" hidden="1">
      <c r="B120" s="65"/>
      <c r="C120" s="27"/>
      <c r="D120" s="27"/>
      <c r="E120" s="27"/>
      <c r="F120" s="27"/>
      <c r="G120" s="27"/>
      <c r="H120" s="67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85"/>
      <c r="W120" s="105"/>
      <c r="X120" s="66"/>
    </row>
    <row r="121" spans="2:24" hidden="1">
      <c r="B121" s="65"/>
      <c r="C121" s="27"/>
      <c r="D121" s="27"/>
      <c r="E121" s="27"/>
      <c r="F121" s="27"/>
      <c r="G121" s="27"/>
      <c r="H121" s="67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85"/>
      <c r="W121" s="105"/>
      <c r="X121" s="66"/>
    </row>
    <row r="122" spans="2:24" ht="15.75" hidden="1" thickBot="1">
      <c r="B122" s="65"/>
      <c r="C122" s="27"/>
      <c r="D122" s="27"/>
      <c r="E122" s="27"/>
      <c r="F122" s="27"/>
      <c r="G122" s="27"/>
      <c r="H122" s="67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86"/>
      <c r="W122" s="105"/>
      <c r="X122" s="66"/>
    </row>
    <row r="123" spans="2:24" hidden="1">
      <c r="B123" s="65"/>
      <c r="C123" s="27"/>
      <c r="D123" s="27"/>
      <c r="E123" s="27"/>
      <c r="F123" s="27"/>
      <c r="G123" s="27"/>
      <c r="H123" s="67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27"/>
      <c r="W123" s="27"/>
      <c r="X123" s="66"/>
    </row>
    <row r="124" spans="2:24" hidden="1">
      <c r="B124" s="65"/>
      <c r="C124" s="27"/>
      <c r="D124" s="27"/>
      <c r="E124" s="27"/>
      <c r="F124" s="27"/>
      <c r="G124" s="27"/>
      <c r="H124" s="67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66"/>
    </row>
    <row r="125" spans="2:24" ht="15.75" hidden="1" thickBot="1">
      <c r="B125" s="71"/>
      <c r="C125" s="28"/>
      <c r="D125" s="28"/>
      <c r="E125" s="28"/>
      <c r="F125" s="28"/>
      <c r="G125" s="28"/>
      <c r="H125" s="73"/>
      <c r="I125" s="74"/>
      <c r="J125" s="74"/>
      <c r="K125" s="74"/>
      <c r="L125" s="74"/>
      <c r="M125" s="74"/>
      <c r="N125" s="74"/>
      <c r="O125" s="74"/>
      <c r="P125" s="74"/>
      <c r="Q125" s="74"/>
      <c r="R125" s="75"/>
      <c r="S125" s="76"/>
      <c r="T125" s="28"/>
      <c r="U125" s="28"/>
      <c r="V125" s="28"/>
      <c r="W125" s="28"/>
      <c r="X125" s="72"/>
    </row>
    <row r="126" spans="2:24"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3"/>
      <c r="S126" s="54"/>
      <c r="T126" s="54"/>
      <c r="U126" s="54"/>
      <c r="V126" s="54"/>
      <c r="W126" s="54"/>
      <c r="X126" s="54"/>
    </row>
    <row r="127" spans="2:24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</sheetData>
  <sheetProtection password="C836" sheet="1" objects="1" scenarios="1"/>
  <mergeCells count="9">
    <mergeCell ref="J18:Q18"/>
    <mergeCell ref="J28:Q28"/>
    <mergeCell ref="J38:Q38"/>
    <mergeCell ref="U4:W5"/>
    <mergeCell ref="B2:X2"/>
    <mergeCell ref="D7:E7"/>
    <mergeCell ref="J7:Q7"/>
    <mergeCell ref="C4:F5"/>
    <mergeCell ref="I4:R5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28"/>
  <sheetViews>
    <sheetView showGridLines="0" zoomScaleNormal="100" workbookViewId="0">
      <selection activeCell="D12" sqref="D12"/>
    </sheetView>
  </sheetViews>
  <sheetFormatPr defaultRowHeight="15"/>
  <cols>
    <col min="1" max="1" width="35.7109375" style="62" customWidth="1"/>
    <col min="2" max="2" width="9.140625" style="62"/>
    <col min="3" max="3" width="6.7109375" style="62" customWidth="1"/>
    <col min="4" max="4" width="22.7109375" style="62" customWidth="1"/>
    <col min="5" max="5" width="6.7109375" style="62" customWidth="1"/>
    <col min="6" max="6" width="9.140625" style="62" customWidth="1"/>
    <col min="7" max="7" width="9.140625" style="62"/>
    <col min="8" max="8" width="6.140625" style="62" customWidth="1"/>
    <col min="9" max="9" width="7.140625" style="62" customWidth="1"/>
    <col min="10" max="10" width="15.140625" style="62" customWidth="1"/>
    <col min="11" max="11" width="11.7109375" style="62" customWidth="1"/>
    <col min="12" max="16384" width="9.140625" style="62"/>
  </cols>
  <sheetData>
    <row r="1" spans="2:15" ht="39.950000000000003" customHeight="1" thickBot="1"/>
    <row r="2" spans="2:15" ht="30" customHeight="1" thickBot="1">
      <c r="B2" s="191" t="s">
        <v>60</v>
      </c>
      <c r="C2" s="192"/>
      <c r="D2" s="192"/>
      <c r="E2" s="192"/>
      <c r="F2" s="192"/>
      <c r="G2" s="192"/>
      <c r="H2" s="192"/>
      <c r="I2" s="192"/>
      <c r="J2" s="192"/>
      <c r="K2" s="192"/>
      <c r="L2" s="193"/>
    </row>
    <row r="3" spans="2:15" ht="15.75" thickBot="1">
      <c r="B3" s="64"/>
      <c r="C3" s="38"/>
      <c r="D3" s="38"/>
      <c r="E3" s="38"/>
      <c r="F3" s="39"/>
      <c r="G3" s="79"/>
      <c r="H3" s="49"/>
      <c r="I3" s="49"/>
      <c r="J3" s="49"/>
      <c r="K3" s="49"/>
      <c r="L3" s="47"/>
    </row>
    <row r="4" spans="2:15">
      <c r="B4" s="64"/>
      <c r="C4" s="214" t="s">
        <v>63</v>
      </c>
      <c r="D4" s="215"/>
      <c r="E4" s="216"/>
      <c r="F4" s="39"/>
      <c r="G4" s="79"/>
      <c r="H4" s="220" t="s">
        <v>61</v>
      </c>
      <c r="I4" s="221"/>
      <c r="J4" s="221"/>
      <c r="K4" s="222"/>
      <c r="L4" s="47"/>
    </row>
    <row r="5" spans="2:15" ht="15.75" thickBot="1">
      <c r="B5" s="64"/>
      <c r="C5" s="217"/>
      <c r="D5" s="218"/>
      <c r="E5" s="219"/>
      <c r="F5" s="39"/>
      <c r="G5" s="79"/>
      <c r="H5" s="223"/>
      <c r="I5" s="224"/>
      <c r="J5" s="224"/>
      <c r="K5" s="225"/>
      <c r="L5" s="47"/>
    </row>
    <row r="6" spans="2:15" ht="15.75" thickBot="1">
      <c r="B6" s="67"/>
      <c r="C6" s="38"/>
      <c r="D6" s="38"/>
      <c r="E6" s="38"/>
      <c r="F6" s="25"/>
      <c r="G6" s="80"/>
      <c r="H6" s="49"/>
      <c r="I6" s="49"/>
      <c r="J6" s="49"/>
      <c r="K6" s="49"/>
      <c r="L6" s="81"/>
    </row>
    <row r="7" spans="2:15" ht="15.75" thickBot="1">
      <c r="B7" s="67"/>
      <c r="C7" s="21"/>
      <c r="D7" s="33" t="s">
        <v>55</v>
      </c>
      <c r="E7" s="34"/>
      <c r="F7" s="23"/>
      <c r="G7" s="80"/>
      <c r="H7" s="196" t="s">
        <v>52</v>
      </c>
      <c r="I7" s="197"/>
      <c r="J7" s="197"/>
      <c r="K7" s="198"/>
      <c r="L7" s="44"/>
    </row>
    <row r="8" spans="2:15" ht="15.75" thickBot="1">
      <c r="B8" s="67"/>
      <c r="C8" s="21"/>
      <c r="D8" s="146" t="s">
        <v>56</v>
      </c>
      <c r="E8" s="34"/>
      <c r="F8" s="35"/>
      <c r="G8" s="80"/>
      <c r="H8" s="134" t="str">
        <f>INDEX(Setup!K86:Q86, 1, I8)</f>
        <v>B</v>
      </c>
      <c r="I8" s="135">
        <f>MOD(D26, 7)+1</f>
        <v>2</v>
      </c>
      <c r="J8" s="136" t="str">
        <f>CHOOSE(D28, "Sunday", "Monday", "Tuesday", "Wednesday", "Thursday", "Friday", "Saturday")</f>
        <v>Tuesday</v>
      </c>
      <c r="K8" s="137">
        <f>D12</f>
        <v>41513</v>
      </c>
      <c r="L8" s="45"/>
    </row>
    <row r="9" spans="2:15">
      <c r="B9" s="67"/>
      <c r="C9" s="21"/>
      <c r="D9" s="152">
        <v>41501</v>
      </c>
      <c r="E9" s="36"/>
      <c r="F9" s="37"/>
      <c r="G9" s="80"/>
      <c r="H9" s="138" t="s">
        <v>18</v>
      </c>
      <c r="I9" s="139" t="s">
        <v>1</v>
      </c>
      <c r="J9" s="140" t="s">
        <v>53</v>
      </c>
      <c r="K9" s="141" t="s">
        <v>54</v>
      </c>
      <c r="L9" s="46"/>
    </row>
    <row r="10" spans="2:15">
      <c r="B10" s="67"/>
      <c r="C10" s="21"/>
      <c r="D10" s="147" t="s">
        <v>57</v>
      </c>
      <c r="E10" s="38"/>
      <c r="F10" s="39"/>
      <c r="G10" s="80"/>
      <c r="H10" s="125">
        <v>0.5</v>
      </c>
      <c r="I10" s="126">
        <f>INDEX(Setup!K62:Q65, 1, D28)</f>
        <v>13</v>
      </c>
      <c r="J10" s="127" t="str">
        <f>INDEX(Setup!E9:E24, Schedule!I10 + 1, 1)</f>
        <v>FAC PLC</v>
      </c>
      <c r="K10" s="128" t="str">
        <f>INDEX(Setup!K69:Q72,1, Schedule!D28)</f>
        <v>7:45-8:30</v>
      </c>
      <c r="L10" s="47"/>
    </row>
    <row r="11" spans="2:15">
      <c r="B11" s="67"/>
      <c r="C11" s="21"/>
      <c r="D11" s="153"/>
      <c r="E11" s="38"/>
      <c r="F11" s="39"/>
      <c r="G11" s="80"/>
      <c r="H11" s="142">
        <v>1</v>
      </c>
      <c r="I11" s="145">
        <f>INDEX(Setup!K87:Q90, Schedule!H11, I8)</f>
        <v>5</v>
      </c>
      <c r="J11" s="143" t="str">
        <f>INDEX(Setup!E10:E17, Schedule!I11, 1)</f>
        <v>English</v>
      </c>
      <c r="K11" s="144" t="str">
        <f>INDEX(Setup!K73:Q76,1, Schedule!D28)</f>
        <v>8:30-9:40</v>
      </c>
      <c r="L11" s="47"/>
    </row>
    <row r="12" spans="2:15">
      <c r="B12" s="67"/>
      <c r="C12" s="21"/>
      <c r="D12" s="190">
        <v>41513</v>
      </c>
      <c r="E12" s="38"/>
      <c r="F12" s="39"/>
      <c r="G12" s="80"/>
      <c r="H12" s="125">
        <v>1.5</v>
      </c>
      <c r="I12" s="129">
        <f>INDEX(Setup!K62:Q65, 2, D28)</f>
        <v>10</v>
      </c>
      <c r="J12" s="127" t="str">
        <f>INDEX(Setup!E9:E24, Schedule!I12 + 1, 1)</f>
        <v>Break</v>
      </c>
      <c r="K12" s="128" t="str">
        <f>INDEX(Setup!K69:Q72,2, Schedule!D28)</f>
        <v>9:40-9:55</v>
      </c>
      <c r="L12" s="47"/>
    </row>
    <row r="13" spans="2:15" ht="15.75" thickBot="1">
      <c r="B13" s="67"/>
      <c r="C13" s="21"/>
      <c r="D13" s="154"/>
      <c r="E13" s="38"/>
      <c r="F13" s="39"/>
      <c r="G13" s="80"/>
      <c r="H13" s="142">
        <v>2</v>
      </c>
      <c r="I13" s="145">
        <f>INDEX(Setup!K87:Q90, Schedule!H13, I8)</f>
        <v>6</v>
      </c>
      <c r="J13" s="143" t="str">
        <f>INDEX(Setup!E10:E17, Schedule!I13, 1)</f>
        <v>Orchestra</v>
      </c>
      <c r="K13" s="144" t="str">
        <f>INDEX(Setup!K73:Q76,H13, Schedule!D28)</f>
        <v>9:55-11:05</v>
      </c>
      <c r="L13" s="47"/>
    </row>
    <row r="14" spans="2:15">
      <c r="B14" s="67"/>
      <c r="C14" s="21"/>
      <c r="D14" s="40"/>
      <c r="E14" s="38"/>
      <c r="F14" s="39"/>
      <c r="G14" s="80"/>
      <c r="H14" s="142">
        <v>3</v>
      </c>
      <c r="I14" s="145">
        <f>INDEX(Setup!K87:Q90, Schedule!H14, I8)</f>
        <v>7</v>
      </c>
      <c r="J14" s="143" t="str">
        <f>INDEX(Setup!E10:E17, Schedule!I14, 1)</f>
        <v>Physics</v>
      </c>
      <c r="K14" s="144" t="str">
        <f>INDEX(Setup!K73:Q76,H14, Schedule!D28)</f>
        <v>11:05-1:10</v>
      </c>
      <c r="L14" s="47"/>
      <c r="O14" s="82"/>
    </row>
    <row r="15" spans="2:15">
      <c r="B15" s="67"/>
      <c r="C15" s="70"/>
      <c r="D15" s="70"/>
      <c r="E15" s="70"/>
      <c r="F15" s="39"/>
      <c r="G15" s="80"/>
      <c r="H15" s="125">
        <v>3.5</v>
      </c>
      <c r="I15" s="129">
        <f>INDEX(Setup!K62:Q65, 3, D28)</f>
        <v>15</v>
      </c>
      <c r="J15" s="127" t="str">
        <f>INDEX(Setup!E9:E24, Schedule!I15 + 1, 1)</f>
        <v>ARTS/ADV</v>
      </c>
      <c r="K15" s="128" t="str">
        <f>INDEX(Setup!K69:Q72,3, Schedule!D28)</f>
        <v>1:10-1:50</v>
      </c>
      <c r="L15" s="47"/>
    </row>
    <row r="16" spans="2:15">
      <c r="B16" s="67"/>
      <c r="C16" s="21"/>
      <c r="D16" s="70"/>
      <c r="E16" s="38"/>
      <c r="F16" s="39"/>
      <c r="G16" s="80"/>
      <c r="H16" s="142">
        <v>4</v>
      </c>
      <c r="I16" s="145">
        <f>INDEX(Setup!K87:Q90, Schedule!H16, I8)</f>
        <v>1</v>
      </c>
      <c r="J16" s="143" t="str">
        <f>INDEX(Setup!E10:E17, Schedule!I16, 1)</f>
        <v>History</v>
      </c>
      <c r="K16" s="144" t="str">
        <f>INDEX(Setup!K73:Q76,H16, Schedule!D28)</f>
        <v>1:50-3:00</v>
      </c>
      <c r="L16" s="47"/>
    </row>
    <row r="17" spans="2:12" ht="15.75" thickBot="1">
      <c r="B17" s="67"/>
      <c r="C17" s="21"/>
      <c r="D17" s="70"/>
      <c r="E17" s="38"/>
      <c r="F17" s="39"/>
      <c r="G17" s="80"/>
      <c r="H17" s="130">
        <v>4.5</v>
      </c>
      <c r="I17" s="131">
        <f>INDEX(Setup!K62:Q65, 4, D28)</f>
        <v>9</v>
      </c>
      <c r="J17" s="132" t="str">
        <f>INDEX(Setup!E9:E24, Schedule!I17 + 1, 1)</f>
        <v>Office Hours</v>
      </c>
      <c r="K17" s="133" t="str">
        <f>INDEX(Setup!K69:Q72,4, Schedule!D28)</f>
        <v>3:00-3:30</v>
      </c>
      <c r="L17" s="47"/>
    </row>
    <row r="18" spans="2:12">
      <c r="B18" s="67"/>
      <c r="C18" s="70"/>
      <c r="D18" s="70"/>
      <c r="E18" s="70"/>
      <c r="F18" s="25"/>
      <c r="G18" s="80"/>
      <c r="H18" s="83"/>
      <c r="I18" s="48"/>
      <c r="J18" s="49"/>
      <c r="K18" s="49"/>
      <c r="L18" s="81"/>
    </row>
    <row r="19" spans="2:12" ht="15.75" thickBot="1">
      <c r="B19" s="73"/>
      <c r="C19" s="74"/>
      <c r="D19" s="41"/>
      <c r="E19" s="42"/>
      <c r="F19" s="43"/>
      <c r="G19" s="84"/>
      <c r="H19" s="85"/>
      <c r="I19" s="50"/>
      <c r="J19" s="51"/>
      <c r="K19" s="51"/>
      <c r="L19" s="52"/>
    </row>
    <row r="25" spans="2:12" hidden="1">
      <c r="D25" s="116" t="s">
        <v>58</v>
      </c>
    </row>
    <row r="26" spans="2:12" ht="15.75" hidden="1" thickBot="1">
      <c r="D26" s="117">
        <f>MAX(NETWORKDAYS(D9, D12,Setup!V60:V122)-1, 0)</f>
        <v>8</v>
      </c>
    </row>
    <row r="27" spans="2:12" hidden="1">
      <c r="D27" s="116" t="s">
        <v>59</v>
      </c>
    </row>
    <row r="28" spans="2:12" ht="15.75" hidden="1" thickBot="1">
      <c r="D28" s="117">
        <f>WEEKDAY(D12)</f>
        <v>3</v>
      </c>
    </row>
  </sheetData>
  <sheetProtection password="C836" sheet="1" objects="1" scenarios="1"/>
  <mergeCells count="4">
    <mergeCell ref="C4:E5"/>
    <mergeCell ref="H4:K5"/>
    <mergeCell ref="H7:K7"/>
    <mergeCell ref="B2:L2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E6" sqref="E6:K6"/>
    </sheetView>
  </sheetViews>
  <sheetFormatPr defaultRowHeight="15"/>
  <cols>
    <col min="1" max="1" width="8.7109375" style="62" customWidth="1"/>
    <col min="2" max="2" width="35.7109375" style="62" customWidth="1"/>
    <col min="3" max="16384" width="9.140625" style="62"/>
  </cols>
  <sheetData>
    <row r="2" spans="3:13" ht="24.95" customHeight="1" thickBot="1"/>
    <row r="3" spans="3:13" ht="30" customHeight="1" thickBot="1">
      <c r="C3" s="191" t="s">
        <v>67</v>
      </c>
      <c r="D3" s="192"/>
      <c r="E3" s="192"/>
      <c r="F3" s="192"/>
      <c r="G3" s="192"/>
      <c r="H3" s="192"/>
      <c r="I3" s="192"/>
      <c r="J3" s="192"/>
      <c r="K3" s="192"/>
      <c r="L3" s="192"/>
      <c r="M3" s="193"/>
    </row>
    <row r="4" spans="3:13" ht="15.75" thickBot="1">
      <c r="C4" s="86"/>
      <c r="D4" s="87"/>
      <c r="E4" s="87"/>
      <c r="F4" s="87"/>
      <c r="G4" s="87"/>
      <c r="H4" s="87"/>
      <c r="I4" s="87"/>
      <c r="J4" s="87"/>
      <c r="K4" s="87"/>
      <c r="L4" s="87"/>
      <c r="M4" s="88"/>
    </row>
    <row r="5" spans="3:13">
      <c r="C5" s="65"/>
      <c r="D5" s="89"/>
      <c r="E5" s="90"/>
      <c r="F5" s="90"/>
      <c r="G5" s="90"/>
      <c r="H5" s="90"/>
      <c r="I5" s="90"/>
      <c r="J5" s="90"/>
      <c r="K5" s="90"/>
      <c r="L5" s="91"/>
      <c r="M5" s="66"/>
    </row>
    <row r="6" spans="3:13" ht="24.95" customHeight="1">
      <c r="C6" s="65"/>
      <c r="D6" s="92"/>
      <c r="E6" s="226" t="s">
        <v>65</v>
      </c>
      <c r="F6" s="226"/>
      <c r="G6" s="226"/>
      <c r="H6" s="226"/>
      <c r="I6" s="226"/>
      <c r="J6" s="226"/>
      <c r="K6" s="226"/>
      <c r="L6" s="93"/>
      <c r="M6" s="66"/>
    </row>
    <row r="7" spans="3:13" ht="15" customHeight="1">
      <c r="C7" s="65"/>
      <c r="D7" s="92"/>
      <c r="E7" s="194" t="s">
        <v>71</v>
      </c>
      <c r="F7" s="227"/>
      <c r="G7" s="227"/>
      <c r="H7" s="227"/>
      <c r="I7" s="227"/>
      <c r="J7" s="227"/>
      <c r="K7" s="227"/>
      <c r="L7" s="93"/>
      <c r="M7" s="66"/>
    </row>
    <row r="8" spans="3:13" ht="15" customHeight="1">
      <c r="C8" s="65"/>
      <c r="D8" s="92"/>
      <c r="E8" s="227"/>
      <c r="F8" s="227"/>
      <c r="G8" s="227"/>
      <c r="H8" s="227"/>
      <c r="I8" s="227"/>
      <c r="J8" s="227"/>
      <c r="K8" s="227"/>
      <c r="L8" s="93"/>
      <c r="M8" s="66"/>
    </row>
    <row r="9" spans="3:13" ht="15" customHeight="1">
      <c r="C9" s="65"/>
      <c r="D9" s="92"/>
      <c r="E9" s="227"/>
      <c r="F9" s="227"/>
      <c r="G9" s="227"/>
      <c r="H9" s="227"/>
      <c r="I9" s="227"/>
      <c r="J9" s="227"/>
      <c r="K9" s="227"/>
      <c r="L9" s="93"/>
      <c r="M9" s="66"/>
    </row>
    <row r="10" spans="3:13" ht="15" customHeight="1">
      <c r="C10" s="65"/>
      <c r="D10" s="92"/>
      <c r="E10" s="227"/>
      <c r="F10" s="227"/>
      <c r="G10" s="227"/>
      <c r="H10" s="227"/>
      <c r="I10" s="227"/>
      <c r="J10" s="227"/>
      <c r="K10" s="227"/>
      <c r="L10" s="93"/>
      <c r="M10" s="66"/>
    </row>
    <row r="11" spans="3:13" ht="15" customHeight="1" thickBot="1">
      <c r="C11" s="65"/>
      <c r="D11" s="94"/>
      <c r="E11" s="98"/>
      <c r="F11" s="98"/>
      <c r="G11" s="98"/>
      <c r="H11" s="98"/>
      <c r="I11" s="98"/>
      <c r="J11" s="98"/>
      <c r="K11" s="98"/>
      <c r="L11" s="96"/>
      <c r="M11" s="66"/>
    </row>
    <row r="12" spans="3:13" ht="15" customHeight="1" thickBot="1">
      <c r="C12" s="65"/>
      <c r="D12" s="20"/>
      <c r="E12" s="97"/>
      <c r="F12" s="97"/>
      <c r="G12" s="97"/>
      <c r="H12" s="97"/>
      <c r="I12" s="97"/>
      <c r="J12" s="97"/>
      <c r="K12" s="97"/>
      <c r="L12" s="20"/>
      <c r="M12" s="66"/>
    </row>
    <row r="13" spans="3:13" ht="15" customHeight="1">
      <c r="C13" s="65"/>
      <c r="D13" s="89"/>
      <c r="E13" s="90"/>
      <c r="F13" s="90"/>
      <c r="G13" s="90"/>
      <c r="H13" s="90"/>
      <c r="I13" s="90"/>
      <c r="J13" s="90"/>
      <c r="K13" s="90"/>
      <c r="L13" s="91"/>
      <c r="M13" s="66"/>
    </row>
    <row r="14" spans="3:13" ht="24.95" customHeight="1">
      <c r="C14" s="65"/>
      <c r="D14" s="92"/>
      <c r="E14" s="226" t="s">
        <v>69</v>
      </c>
      <c r="F14" s="226"/>
      <c r="G14" s="226"/>
      <c r="H14" s="226"/>
      <c r="I14" s="226"/>
      <c r="J14" s="226"/>
      <c r="K14" s="226"/>
      <c r="L14" s="93"/>
      <c r="M14" s="66"/>
    </row>
    <row r="15" spans="3:13" ht="15" customHeight="1">
      <c r="C15" s="65"/>
      <c r="D15" s="92"/>
      <c r="E15" s="229" t="s">
        <v>72</v>
      </c>
      <c r="F15" s="229"/>
      <c r="G15" s="229"/>
      <c r="H15" s="229"/>
      <c r="I15" s="229"/>
      <c r="J15" s="229"/>
      <c r="K15" s="229"/>
      <c r="L15" s="93"/>
      <c r="M15" s="66"/>
    </row>
    <row r="16" spans="3:13" ht="15" customHeight="1">
      <c r="C16" s="65"/>
      <c r="D16" s="92"/>
      <c r="E16" s="229"/>
      <c r="F16" s="229"/>
      <c r="G16" s="229"/>
      <c r="H16" s="229"/>
      <c r="I16" s="229"/>
      <c r="J16" s="229"/>
      <c r="K16" s="229"/>
      <c r="L16" s="93"/>
      <c r="M16" s="66"/>
    </row>
    <row r="17" spans="3:13" ht="15" customHeight="1">
      <c r="C17" s="65"/>
      <c r="D17" s="92"/>
      <c r="E17" s="229"/>
      <c r="F17" s="229"/>
      <c r="G17" s="229"/>
      <c r="H17" s="229"/>
      <c r="I17" s="229"/>
      <c r="J17" s="229"/>
      <c r="K17" s="229"/>
      <c r="L17" s="93"/>
      <c r="M17" s="66"/>
    </row>
    <row r="18" spans="3:13" ht="15" customHeight="1">
      <c r="C18" s="65"/>
      <c r="D18" s="92"/>
      <c r="E18" s="229"/>
      <c r="F18" s="229"/>
      <c r="G18" s="229"/>
      <c r="H18" s="229"/>
      <c r="I18" s="229"/>
      <c r="J18" s="229"/>
      <c r="K18" s="229"/>
      <c r="L18" s="93"/>
      <c r="M18" s="66"/>
    </row>
    <row r="19" spans="3:13" ht="15.75" customHeight="1">
      <c r="C19" s="65"/>
      <c r="D19" s="92"/>
      <c r="E19" s="229"/>
      <c r="F19" s="229"/>
      <c r="G19" s="229"/>
      <c r="H19" s="229"/>
      <c r="I19" s="229"/>
      <c r="J19" s="229"/>
      <c r="K19" s="229"/>
      <c r="L19" s="93"/>
      <c r="M19" s="66"/>
    </row>
    <row r="20" spans="3:13" ht="15.75" thickBot="1">
      <c r="C20" s="65"/>
      <c r="D20" s="99"/>
      <c r="E20" s="100"/>
      <c r="F20" s="100"/>
      <c r="G20" s="100"/>
      <c r="H20" s="100"/>
      <c r="I20" s="100"/>
      <c r="J20" s="100"/>
      <c r="K20" s="100"/>
      <c r="L20" s="101"/>
      <c r="M20" s="66"/>
    </row>
    <row r="21" spans="3:13" ht="15.75" thickBot="1">
      <c r="C21" s="65"/>
      <c r="D21" s="27"/>
      <c r="E21" s="27"/>
      <c r="F21" s="27"/>
      <c r="G21" s="27"/>
      <c r="H21" s="27"/>
      <c r="I21" s="27"/>
      <c r="J21" s="27"/>
      <c r="K21" s="27"/>
      <c r="L21" s="27"/>
      <c r="M21" s="66"/>
    </row>
    <row r="22" spans="3:13">
      <c r="C22" s="65"/>
      <c r="D22" s="89"/>
      <c r="E22" s="90"/>
      <c r="F22" s="90"/>
      <c r="G22" s="90"/>
      <c r="H22" s="90"/>
      <c r="I22" s="90"/>
      <c r="J22" s="90"/>
      <c r="K22" s="90"/>
      <c r="L22" s="91"/>
      <c r="M22" s="66"/>
    </row>
    <row r="23" spans="3:13" ht="23.25">
      <c r="C23" s="65"/>
      <c r="D23" s="92"/>
      <c r="E23" s="226" t="s">
        <v>66</v>
      </c>
      <c r="F23" s="226"/>
      <c r="G23" s="226"/>
      <c r="H23" s="226"/>
      <c r="I23" s="226"/>
      <c r="J23" s="226"/>
      <c r="K23" s="226"/>
      <c r="L23" s="93"/>
      <c r="M23" s="66"/>
    </row>
    <row r="24" spans="3:13">
      <c r="C24" s="65"/>
      <c r="D24" s="92"/>
      <c r="E24" s="194" t="s">
        <v>87</v>
      </c>
      <c r="F24" s="227"/>
      <c r="G24" s="227"/>
      <c r="H24" s="227"/>
      <c r="I24" s="227"/>
      <c r="J24" s="227"/>
      <c r="K24" s="227"/>
      <c r="L24" s="93"/>
      <c r="M24" s="66"/>
    </row>
    <row r="25" spans="3:13">
      <c r="C25" s="65"/>
      <c r="D25" s="92"/>
      <c r="E25" s="227"/>
      <c r="F25" s="227"/>
      <c r="G25" s="227"/>
      <c r="H25" s="227"/>
      <c r="I25" s="227"/>
      <c r="J25" s="227"/>
      <c r="K25" s="227"/>
      <c r="L25" s="93"/>
      <c r="M25" s="66"/>
    </row>
    <row r="26" spans="3:13">
      <c r="C26" s="65"/>
      <c r="D26" s="92"/>
      <c r="E26" s="227"/>
      <c r="F26" s="227"/>
      <c r="G26" s="227"/>
      <c r="H26" s="227"/>
      <c r="I26" s="227"/>
      <c r="J26" s="227"/>
      <c r="K26" s="227"/>
      <c r="L26" s="93"/>
      <c r="M26" s="66"/>
    </row>
    <row r="27" spans="3:13">
      <c r="C27" s="65"/>
      <c r="D27" s="92"/>
      <c r="E27" s="227"/>
      <c r="F27" s="227"/>
      <c r="G27" s="227"/>
      <c r="H27" s="227"/>
      <c r="I27" s="227"/>
      <c r="J27" s="227"/>
      <c r="K27" s="227"/>
      <c r="L27" s="93"/>
      <c r="M27" s="66"/>
    </row>
    <row r="28" spans="3:13" ht="24" thickBot="1">
      <c r="C28" s="65"/>
      <c r="D28" s="94"/>
      <c r="E28" s="98"/>
      <c r="F28" s="98"/>
      <c r="G28" s="98"/>
      <c r="H28" s="98"/>
      <c r="I28" s="98"/>
      <c r="J28" s="98"/>
      <c r="K28" s="98"/>
      <c r="L28" s="96"/>
      <c r="M28" s="66"/>
    </row>
    <row r="29" spans="3:13" ht="15.75" thickBot="1">
      <c r="C29" s="65"/>
      <c r="D29" s="27"/>
      <c r="E29" s="27"/>
      <c r="F29" s="27"/>
      <c r="G29" s="27"/>
      <c r="H29" s="27"/>
      <c r="I29" s="27"/>
      <c r="J29" s="27"/>
      <c r="K29" s="27"/>
      <c r="L29" s="27"/>
      <c r="M29" s="66"/>
    </row>
    <row r="30" spans="3:13">
      <c r="C30" s="65"/>
      <c r="D30" s="89"/>
      <c r="E30" s="90"/>
      <c r="F30" s="90"/>
      <c r="G30" s="90"/>
      <c r="H30" s="90"/>
      <c r="I30" s="90"/>
      <c r="J30" s="90"/>
      <c r="K30" s="90"/>
      <c r="L30" s="91"/>
      <c r="M30" s="66"/>
    </row>
    <row r="31" spans="3:13" ht="23.25">
      <c r="C31" s="65"/>
      <c r="D31" s="92"/>
      <c r="E31" s="226" t="s">
        <v>73</v>
      </c>
      <c r="F31" s="226"/>
      <c r="G31" s="226"/>
      <c r="H31" s="226"/>
      <c r="I31" s="226"/>
      <c r="J31" s="226"/>
      <c r="K31" s="226"/>
      <c r="L31" s="93"/>
      <c r="M31" s="66"/>
    </row>
    <row r="32" spans="3:13" ht="15" customHeight="1">
      <c r="C32" s="65"/>
      <c r="D32" s="92"/>
      <c r="E32" s="194" t="s">
        <v>74</v>
      </c>
      <c r="F32" s="194"/>
      <c r="G32" s="194"/>
      <c r="H32" s="194"/>
      <c r="I32" s="194"/>
      <c r="J32" s="194"/>
      <c r="K32" s="194"/>
      <c r="L32" s="103"/>
      <c r="M32" s="66"/>
    </row>
    <row r="33" spans="3:13" ht="15" customHeight="1">
      <c r="C33" s="65"/>
      <c r="D33" s="92"/>
      <c r="E33" s="194"/>
      <c r="F33" s="194"/>
      <c r="G33" s="194"/>
      <c r="H33" s="194"/>
      <c r="I33" s="194"/>
      <c r="J33" s="194"/>
      <c r="K33" s="194"/>
      <c r="L33" s="103"/>
      <c r="M33" s="66"/>
    </row>
    <row r="34" spans="3:13" ht="15" customHeight="1">
      <c r="C34" s="65"/>
      <c r="D34" s="92"/>
      <c r="E34" s="194"/>
      <c r="F34" s="194"/>
      <c r="G34" s="194"/>
      <c r="H34" s="194"/>
      <c r="I34" s="194"/>
      <c r="J34" s="194"/>
      <c r="K34" s="194"/>
      <c r="L34" s="103"/>
      <c r="M34" s="66"/>
    </row>
    <row r="35" spans="3:13" ht="15" customHeight="1">
      <c r="C35" s="65"/>
      <c r="D35" s="92"/>
      <c r="E35" s="194"/>
      <c r="F35" s="194"/>
      <c r="G35" s="194"/>
      <c r="H35" s="194"/>
      <c r="I35" s="194"/>
      <c r="J35" s="194"/>
      <c r="K35" s="194"/>
      <c r="L35" s="103"/>
      <c r="M35" s="66"/>
    </row>
    <row r="36" spans="3:13" ht="15.75" customHeight="1">
      <c r="C36" s="65"/>
      <c r="D36" s="92"/>
      <c r="E36" s="194"/>
      <c r="F36" s="194"/>
      <c r="G36" s="194"/>
      <c r="H36" s="194"/>
      <c r="I36" s="194"/>
      <c r="J36" s="194"/>
      <c r="K36" s="194"/>
      <c r="L36" s="103"/>
      <c r="M36" s="66"/>
    </row>
    <row r="37" spans="3:13" ht="15" customHeight="1" thickBot="1">
      <c r="C37" s="65"/>
      <c r="D37" s="99"/>
      <c r="E37" s="106"/>
      <c r="F37" s="106"/>
      <c r="G37" s="106"/>
      <c r="H37" s="106"/>
      <c r="I37" s="106"/>
      <c r="J37" s="106"/>
      <c r="K37" s="106"/>
      <c r="L37" s="104"/>
      <c r="M37" s="66"/>
    </row>
    <row r="38" spans="3:13" ht="15.75" thickBot="1">
      <c r="C38" s="65"/>
      <c r="D38" s="27"/>
      <c r="E38" s="27"/>
      <c r="F38" s="27"/>
      <c r="G38" s="27"/>
      <c r="H38" s="27"/>
      <c r="I38" s="27"/>
      <c r="J38" s="27"/>
      <c r="K38" s="27"/>
      <c r="L38" s="27"/>
      <c r="M38" s="66"/>
    </row>
    <row r="39" spans="3:13">
      <c r="C39" s="65"/>
      <c r="D39" s="89"/>
      <c r="E39" s="90"/>
      <c r="F39" s="90"/>
      <c r="G39" s="90"/>
      <c r="H39" s="90"/>
      <c r="I39" s="90"/>
      <c r="J39" s="90"/>
      <c r="K39" s="90"/>
      <c r="L39" s="91"/>
      <c r="M39" s="66"/>
    </row>
    <row r="40" spans="3:13" ht="23.25">
      <c r="C40" s="65"/>
      <c r="D40" s="92"/>
      <c r="E40" s="226" t="s">
        <v>68</v>
      </c>
      <c r="F40" s="226"/>
      <c r="G40" s="226"/>
      <c r="H40" s="226"/>
      <c r="I40" s="226"/>
      <c r="J40" s="226"/>
      <c r="K40" s="226"/>
      <c r="L40" s="93"/>
      <c r="M40" s="66"/>
    </row>
    <row r="41" spans="3:13">
      <c r="C41" s="65"/>
      <c r="D41" s="92"/>
      <c r="E41" s="228" t="s">
        <v>70</v>
      </c>
      <c r="F41" s="228"/>
      <c r="G41" s="228"/>
      <c r="H41" s="228"/>
      <c r="I41" s="228"/>
      <c r="J41" s="228"/>
      <c r="K41" s="228"/>
      <c r="L41" s="93"/>
      <c r="M41" s="66"/>
    </row>
    <row r="42" spans="3:13">
      <c r="C42" s="65"/>
      <c r="D42" s="92"/>
      <c r="E42" s="228"/>
      <c r="F42" s="228"/>
      <c r="G42" s="228"/>
      <c r="H42" s="228"/>
      <c r="I42" s="228"/>
      <c r="J42" s="228"/>
      <c r="K42" s="228"/>
      <c r="L42" s="93"/>
      <c r="M42" s="66"/>
    </row>
    <row r="43" spans="3:13">
      <c r="C43" s="65"/>
      <c r="D43" s="92"/>
      <c r="E43" s="228"/>
      <c r="F43" s="228"/>
      <c r="G43" s="228"/>
      <c r="H43" s="228"/>
      <c r="I43" s="228"/>
      <c r="J43" s="228"/>
      <c r="K43" s="228"/>
      <c r="L43" s="93"/>
      <c r="M43" s="66"/>
    </row>
    <row r="44" spans="3:13" ht="24" thickBot="1">
      <c r="C44" s="65"/>
      <c r="D44" s="94"/>
      <c r="E44" s="102"/>
      <c r="F44" s="102"/>
      <c r="G44" s="102"/>
      <c r="H44" s="102"/>
      <c r="I44" s="102"/>
      <c r="J44" s="102"/>
      <c r="K44" s="102"/>
      <c r="L44" s="96"/>
      <c r="M44" s="66"/>
    </row>
    <row r="45" spans="3:13">
      <c r="C45" s="65"/>
      <c r="D45" s="27"/>
      <c r="E45" s="27"/>
      <c r="F45" s="27"/>
      <c r="G45" s="27"/>
      <c r="H45" s="27"/>
      <c r="I45" s="27"/>
      <c r="J45" s="27"/>
      <c r="K45" s="27"/>
      <c r="L45" s="27"/>
      <c r="M45" s="66"/>
    </row>
    <row r="46" spans="3:13" ht="15.75" thickBot="1">
      <c r="C46" s="71"/>
      <c r="D46" s="28"/>
      <c r="E46" s="28"/>
      <c r="F46" s="28"/>
      <c r="G46" s="28"/>
      <c r="H46" s="28"/>
      <c r="I46" s="28"/>
      <c r="J46" s="28"/>
      <c r="K46" s="28"/>
      <c r="L46" s="28"/>
      <c r="M46" s="72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Setup</vt:lpstr>
      <vt:lpstr>Schedule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2013-08-27T01:54:43Z</dcterms:modified>
</cp:coreProperties>
</file>